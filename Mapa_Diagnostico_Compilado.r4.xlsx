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abrielMourãoMachado\Downloads\"/>
    </mc:Choice>
  </mc:AlternateContent>
  <xr:revisionPtr revIDLastSave="0" documentId="8_{343E3886-6907-4CAF-9231-BCC085CD5FC0}" xr6:coauthVersionLast="47" xr6:coauthVersionMax="47" xr10:uidLastSave="{00000000-0000-0000-0000-000000000000}"/>
  <bookViews>
    <workbookView xWindow="-19310" yWindow="390" windowWidth="19420" windowHeight="10300" firstSheet="12" activeTab="12" xr2:uid="{00000000-000D-0000-FFFF-FFFF00000000}"/>
  </bookViews>
  <sheets>
    <sheet name="Listas" sheetId="14" state="hidden" r:id="rId1"/>
    <sheet name="Estrutura TOR" sheetId="26" state="hidden" r:id="rId2"/>
    <sheet name="Estrutura TOR2" sheetId="28" r:id="rId3"/>
    <sheet name="Estrutura" sheetId="24" r:id="rId4"/>
    <sheet name="Taxonomias" sheetId="29" r:id="rId5"/>
    <sheet name=" Lista de Entrevistas" sheetId="1" r:id="rId6"/>
    <sheet name="Analise Individual" sheetId="20" state="hidden" r:id="rId7"/>
    <sheet name="Evidências_Estruturadas" sheetId="13" state="hidden" r:id="rId8"/>
    <sheet name="Referências" sheetId="18" state="hidden" r:id="rId9"/>
    <sheet name="Nuvem" sheetId="19" state="hidden" r:id="rId10"/>
    <sheet name="Tensões_Estruturais" sheetId="15" state="hidden" r:id="rId11"/>
    <sheet name="Planilha1" sheetId="17" state="hidden" r:id="rId12"/>
    <sheet name="Analise Individual (2)" sheetId="30" r:id="rId13"/>
    <sheet name="Impactos x Entrevistas" sheetId="32" state="hidden" r:id="rId14"/>
    <sheet name="Consolidacao Geral (2)" sheetId="31" state="hidden" r:id="rId15"/>
    <sheet name="Matriz_Problema_Impacto" sheetId="33" state="hidden" r:id="rId16"/>
    <sheet name="Matriz_Dimensao_Impacto" sheetId="34" r:id="rId17"/>
    <sheet name="Hipoteses" sheetId="35" r:id="rId18"/>
    <sheet name="Consolidacao Geral" sheetId="21" state="hidden" r:id="rId19"/>
    <sheet name="Matrizes" sheetId="25" state="hidden" r:id="rId20"/>
    <sheet name="Lista de Entrevistas_BD" sheetId="16" r:id="rId21"/>
  </sheets>
  <definedNames>
    <definedName name="_xlnm._FilterDatabase" localSheetId="5" hidden="1">' Lista de Entrevistas'!$A$1:$I$70</definedName>
    <definedName name="_xlnm._FilterDatabase" localSheetId="6" hidden="1">'Analise Individual'!$A$1:$M$427</definedName>
    <definedName name="_xlnm._FilterDatabase" localSheetId="12" hidden="1">'Analise Individual (2)'!$A$1:$K$593</definedName>
    <definedName name="_xlnm._FilterDatabase" localSheetId="18" hidden="1">'Consolidacao Geral'!$A$1:$F$31</definedName>
    <definedName name="_xlnm._FilterDatabase" localSheetId="14" hidden="1">'Consolidacao Geral (2)'!$A$1:$D$31</definedName>
    <definedName name="_xlnm._FilterDatabase" localSheetId="1" hidden="1">'Estrutura TOR'!$A$1:$D$12</definedName>
    <definedName name="_xlnm._FilterDatabase" localSheetId="7" hidden="1">Evidências_Estruturadas!$A$1:$J$1</definedName>
    <definedName name="_xlnm._FilterDatabase" localSheetId="20" hidden="1">'Lista de Entrevistas_BD'!$B$2:$O$130</definedName>
    <definedName name="_xlnm._FilterDatabase" localSheetId="8" hidden="1">Referências!$A$1:$I$1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35" l="1"/>
  <c r="E11" i="35"/>
  <c r="D11" i="35"/>
  <c r="C11" i="35"/>
  <c r="A571" i="30"/>
  <c r="A572" i="30"/>
  <c r="A573" i="30"/>
  <c r="A574" i="30"/>
  <c r="A575" i="30"/>
  <c r="A576" i="30"/>
  <c r="A577" i="30"/>
  <c r="A578" i="30"/>
  <c r="A579" i="30"/>
  <c r="A580" i="30"/>
  <c r="A581" i="30"/>
  <c r="A582" i="30"/>
  <c r="A583" i="30"/>
  <c r="A584" i="30"/>
  <c r="A585" i="30"/>
  <c r="A586" i="30"/>
  <c r="A587" i="30"/>
  <c r="A588" i="30"/>
  <c r="A589" i="30"/>
  <c r="A590" i="30"/>
  <c r="A591" i="30"/>
  <c r="A592" i="30"/>
  <c r="A593" i="30"/>
  <c r="A557" i="30"/>
  <c r="A558" i="30"/>
  <c r="A559" i="30"/>
  <c r="A560" i="30"/>
  <c r="A561" i="30"/>
  <c r="A562" i="30"/>
  <c r="A563" i="30"/>
  <c r="A564" i="30"/>
  <c r="A565" i="30"/>
  <c r="A566" i="30"/>
  <c r="A567" i="30"/>
  <c r="A568" i="30"/>
  <c r="A569" i="30"/>
  <c r="A543" i="30"/>
  <c r="A544" i="30"/>
  <c r="A545" i="30"/>
  <c r="A546" i="30"/>
  <c r="A547" i="30"/>
  <c r="A548" i="30"/>
  <c r="A549" i="30"/>
  <c r="A550" i="30"/>
  <c r="A551" i="30"/>
  <c r="A552" i="30"/>
  <c r="A553" i="30"/>
  <c r="A554" i="30"/>
  <c r="A555" i="30"/>
  <c r="A506" i="30"/>
  <c r="A507" i="30"/>
  <c r="A508" i="30"/>
  <c r="A509" i="30"/>
  <c r="A510" i="30"/>
  <c r="A511" i="30"/>
  <c r="A512" i="30"/>
  <c r="A513" i="30"/>
  <c r="A514" i="30"/>
  <c r="A515" i="30"/>
  <c r="A516" i="30"/>
  <c r="A517" i="30"/>
  <c r="A518" i="30"/>
  <c r="A519" i="30"/>
  <c r="A521" i="30"/>
  <c r="A522" i="30"/>
  <c r="A523" i="30"/>
  <c r="A524" i="30"/>
  <c r="A525" i="30"/>
  <c r="A526" i="30"/>
  <c r="A527" i="30"/>
  <c r="A528" i="30"/>
  <c r="A529" i="30"/>
  <c r="A530" i="30"/>
  <c r="A531" i="30"/>
  <c r="A532" i="30"/>
  <c r="A533" i="30"/>
  <c r="A534" i="30"/>
  <c r="A535" i="30"/>
  <c r="A536" i="30"/>
  <c r="A537" i="30"/>
  <c r="A538" i="30"/>
  <c r="A539" i="30"/>
  <c r="A540" i="30"/>
  <c r="A541" i="30"/>
  <c r="A484" i="30"/>
  <c r="A485" i="30"/>
  <c r="A486" i="30"/>
  <c r="A487" i="30"/>
  <c r="A488" i="30"/>
  <c r="A489" i="30"/>
  <c r="A490" i="30"/>
  <c r="A491" i="30"/>
  <c r="A492" i="30"/>
  <c r="A493" i="30"/>
  <c r="A494" i="30"/>
  <c r="A495" i="30"/>
  <c r="A496" i="30"/>
  <c r="A497" i="30"/>
  <c r="A498" i="30"/>
  <c r="A499" i="30"/>
  <c r="A500" i="30"/>
  <c r="A501" i="30"/>
  <c r="A502" i="30"/>
  <c r="A503" i="30"/>
  <c r="A472" i="30"/>
  <c r="A473" i="30"/>
  <c r="A474" i="30"/>
  <c r="A475" i="30"/>
  <c r="A476" i="30"/>
  <c r="A477" i="30"/>
  <c r="A478" i="30"/>
  <c r="A479" i="30"/>
  <c r="A480" i="30"/>
  <c r="A481" i="30"/>
  <c r="A482" i="30"/>
  <c r="A432" i="30"/>
  <c r="A433" i="30"/>
  <c r="A434" i="30"/>
  <c r="A435" i="30"/>
  <c r="A436" i="30"/>
  <c r="A437" i="30"/>
  <c r="A438" i="30"/>
  <c r="A439" i="30"/>
  <c r="A440" i="30"/>
  <c r="A441" i="30"/>
  <c r="A442" i="30"/>
  <c r="A443" i="30"/>
  <c r="A444" i="30"/>
  <c r="A445" i="30"/>
  <c r="A446" i="30"/>
  <c r="A447" i="30"/>
  <c r="A448" i="30"/>
  <c r="A449" i="30"/>
  <c r="A450" i="30"/>
  <c r="A451" i="30"/>
  <c r="A452" i="30"/>
  <c r="A453" i="30"/>
  <c r="A454" i="30"/>
  <c r="A455" i="30"/>
  <c r="A456" i="30"/>
  <c r="A457" i="30"/>
  <c r="A458" i="30"/>
  <c r="A459" i="30"/>
  <c r="A460" i="30"/>
  <c r="A461" i="30"/>
  <c r="A462" i="30"/>
  <c r="A463" i="30"/>
  <c r="A464" i="30"/>
  <c r="A465" i="30"/>
  <c r="A466" i="30"/>
  <c r="A467" i="30"/>
  <c r="A468" i="30"/>
  <c r="A469" i="30"/>
  <c r="A470" i="30"/>
  <c r="A416" i="30"/>
  <c r="A417" i="30"/>
  <c r="A418" i="30"/>
  <c r="A419" i="30"/>
  <c r="A420" i="30"/>
  <c r="A421" i="30"/>
  <c r="A422" i="30"/>
  <c r="A423" i="30"/>
  <c r="A424" i="30"/>
  <c r="A425" i="30"/>
  <c r="A426" i="30"/>
  <c r="A427" i="30"/>
  <c r="A428" i="30"/>
  <c r="A429" i="30"/>
  <c r="A430" i="30"/>
  <c r="A368" i="30"/>
  <c r="A369" i="30"/>
  <c r="A370" i="30"/>
  <c r="A371" i="30"/>
  <c r="A372" i="30"/>
  <c r="A373" i="30"/>
  <c r="A374" i="30"/>
  <c r="A375" i="30"/>
  <c r="A376" i="30"/>
  <c r="A377" i="30"/>
  <c r="A378" i="30"/>
  <c r="A379" i="30"/>
  <c r="A380" i="30"/>
  <c r="A381" i="30"/>
  <c r="A382" i="30"/>
  <c r="A347" i="30"/>
  <c r="A348" i="30"/>
  <c r="A349" i="30"/>
  <c r="A350" i="30"/>
  <c r="A351" i="30"/>
  <c r="A352" i="30"/>
  <c r="A353" i="30"/>
  <c r="A354" i="30"/>
  <c r="A355" i="30"/>
  <c r="A356" i="30"/>
  <c r="A357" i="30"/>
  <c r="A358" i="30"/>
  <c r="A359" i="30"/>
  <c r="A360" i="30"/>
  <c r="A361" i="30"/>
  <c r="A325" i="30"/>
  <c r="A326" i="30"/>
  <c r="A327" i="30"/>
  <c r="A328" i="30"/>
  <c r="A329" i="30"/>
  <c r="A330" i="30"/>
  <c r="A331" i="30"/>
  <c r="A332" i="30"/>
  <c r="A333" i="30"/>
  <c r="A334" i="30"/>
  <c r="A335" i="30"/>
  <c r="A336" i="30"/>
  <c r="A337" i="30"/>
  <c r="A338" i="30"/>
  <c r="A298" i="30"/>
  <c r="A299" i="30"/>
  <c r="A300" i="30"/>
  <c r="A301" i="30"/>
  <c r="A302" i="30"/>
  <c r="A303" i="30"/>
  <c r="A304" i="30"/>
  <c r="A305" i="30"/>
  <c r="A306" i="30"/>
  <c r="A307" i="30"/>
  <c r="A308" i="30"/>
  <c r="A309" i="30"/>
  <c r="A310" i="30"/>
  <c r="A311" i="30"/>
  <c r="A570" i="30"/>
  <c r="A367" i="30"/>
  <c r="A388" i="30"/>
  <c r="A405" i="30"/>
  <c r="A415" i="30"/>
  <c r="A431" i="30"/>
  <c r="A471" i="30"/>
  <c r="A483" i="30"/>
  <c r="A504" i="30"/>
  <c r="A505" i="30"/>
  <c r="A520" i="30"/>
  <c r="A542" i="30"/>
  <c r="A556" i="30"/>
  <c r="C69" i="1"/>
  <c r="D69" i="1"/>
  <c r="C49" i="1"/>
  <c r="D49" i="1"/>
  <c r="E49" i="1"/>
  <c r="H49" i="1"/>
  <c r="C51" i="1"/>
  <c r="D51" i="1"/>
  <c r="E51" i="1"/>
  <c r="H51" i="1"/>
  <c r="C53" i="1"/>
  <c r="D53" i="1"/>
  <c r="E53" i="1"/>
  <c r="H53" i="1"/>
  <c r="C55" i="1"/>
  <c r="D55" i="1"/>
  <c r="E55" i="1"/>
  <c r="H55" i="1"/>
  <c r="C57" i="1"/>
  <c r="D57" i="1"/>
  <c r="E57" i="1"/>
  <c r="H57" i="1"/>
  <c r="C59" i="1"/>
  <c r="D59" i="1"/>
  <c r="E59" i="1"/>
  <c r="H59" i="1"/>
  <c r="C61" i="1"/>
  <c r="D61" i="1"/>
  <c r="E61" i="1"/>
  <c r="H61" i="1"/>
  <c r="C62" i="1"/>
  <c r="D62" i="1"/>
  <c r="E62" i="1"/>
  <c r="H62" i="1"/>
  <c r="C63" i="1"/>
  <c r="D63" i="1"/>
  <c r="E63" i="1"/>
  <c r="H63" i="1"/>
  <c r="C64" i="1"/>
  <c r="D64" i="1"/>
  <c r="E64" i="1"/>
  <c r="H64" i="1"/>
  <c r="C65" i="1"/>
  <c r="D65" i="1"/>
  <c r="E65" i="1"/>
  <c r="H65"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50" i="1"/>
  <c r="H52" i="1"/>
  <c r="H54" i="1"/>
  <c r="H56" i="1"/>
  <c r="H58" i="1"/>
  <c r="H60" i="1"/>
  <c r="H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50" i="1"/>
  <c r="E52" i="1"/>
  <c r="E54" i="1"/>
  <c r="E56" i="1"/>
  <c r="E58" i="1"/>
  <c r="E60" i="1"/>
  <c r="E2" i="1"/>
  <c r="B15" i="35" l="1" a="1"/>
  <c r="B15" i="35" s="1"/>
  <c r="D60" i="1"/>
  <c r="D58" i="1"/>
  <c r="C58" i="1"/>
  <c r="C60" i="1"/>
  <c r="A414" i="30"/>
  <c r="A413" i="30"/>
  <c r="A412" i="30"/>
  <c r="A411" i="30"/>
  <c r="A410" i="30"/>
  <c r="A409" i="30"/>
  <c r="A408" i="30"/>
  <c r="A407" i="30"/>
  <c r="A406" i="30"/>
  <c r="A404" i="30"/>
  <c r="A403" i="30"/>
  <c r="A402" i="30"/>
  <c r="A401" i="30"/>
  <c r="A400" i="30"/>
  <c r="A399" i="30"/>
  <c r="A398" i="30"/>
  <c r="A397" i="30"/>
  <c r="A396" i="30"/>
  <c r="A395" i="30"/>
  <c r="A394" i="30"/>
  <c r="A393" i="30"/>
  <c r="A392" i="30"/>
  <c r="A391" i="30"/>
  <c r="A390" i="30"/>
  <c r="A389" i="30"/>
  <c r="E15" i="35" l="1" a="1"/>
  <c r="E15" i="35" s="1"/>
  <c r="D15" i="35" a="1"/>
  <c r="D15" i="35" s="1"/>
  <c r="C15" i="35" a="1"/>
  <c r="C15" i="35" s="1"/>
  <c r="E14" i="35"/>
  <c r="D14" i="35"/>
  <c r="C14" i="35"/>
  <c r="E13" i="35"/>
  <c r="D13" i="35"/>
  <c r="C13" i="35"/>
  <c r="E12" i="35" a="1"/>
  <c r="E12" i="35" s="1"/>
  <c r="D12" i="35" a="1"/>
  <c r="D12" i="35" s="1"/>
  <c r="C12" i="35" a="1"/>
  <c r="C12" i="35" s="1"/>
  <c r="B14" i="35"/>
  <c r="B13" i="35"/>
  <c r="B12" i="35" a="1"/>
  <c r="B12" i="35" s="1"/>
  <c r="B11" i="35"/>
  <c r="C54" i="1"/>
  <c r="D54" i="1"/>
  <c r="C56" i="1"/>
  <c r="D56" i="1"/>
  <c r="C47" i="1"/>
  <c r="D47" i="1"/>
  <c r="C48" i="1"/>
  <c r="D48" i="1"/>
  <c r="C50" i="1"/>
  <c r="D50" i="1"/>
  <c r="C52" i="1"/>
  <c r="D52" i="1"/>
  <c r="A175" i="30"/>
  <c r="A176" i="30"/>
  <c r="A177" i="30"/>
  <c r="A178" i="30"/>
  <c r="A179" i="30"/>
  <c r="A180" i="30"/>
  <c r="A181" i="30"/>
  <c r="A182" i="30"/>
  <c r="A183" i="30"/>
  <c r="A184" i="30"/>
  <c r="A291" i="30"/>
  <c r="A292" i="30"/>
  <c r="A293" i="30"/>
  <c r="A294" i="30"/>
  <c r="A295" i="30"/>
  <c r="A296" i="30"/>
  <c r="A297" i="30"/>
  <c r="A312" i="30"/>
  <c r="A313" i="30"/>
  <c r="A314" i="30"/>
  <c r="A315" i="30"/>
  <c r="A316" i="30"/>
  <c r="A317" i="30"/>
  <c r="A318" i="30"/>
  <c r="A319" i="30"/>
  <c r="A320" i="30"/>
  <c r="A321" i="30"/>
  <c r="A322" i="30"/>
  <c r="A323" i="30"/>
  <c r="A324" i="30"/>
  <c r="A339" i="30"/>
  <c r="A340" i="30"/>
  <c r="A341" i="30"/>
  <c r="A342" i="30"/>
  <c r="A343" i="30"/>
  <c r="A344" i="30"/>
  <c r="A345" i="30"/>
  <c r="A346" i="30"/>
  <c r="A362" i="30"/>
  <c r="A363" i="30"/>
  <c r="A364" i="30"/>
  <c r="A365" i="30"/>
  <c r="A366" i="30"/>
  <c r="A383" i="30"/>
  <c r="A384" i="30"/>
  <c r="A385" i="30"/>
  <c r="A386" i="30"/>
  <c r="A387" i="30"/>
  <c r="D22" i="1" l="1"/>
  <c r="D23" i="1"/>
  <c r="D24" i="1"/>
  <c r="D25" i="1"/>
  <c r="D26" i="1"/>
  <c r="D27" i="1"/>
  <c r="D28" i="1"/>
  <c r="D29" i="1"/>
  <c r="D30" i="1"/>
  <c r="D31" i="1"/>
  <c r="D32" i="1"/>
  <c r="D33" i="1"/>
  <c r="D34" i="1"/>
  <c r="D35" i="1"/>
  <c r="D36" i="1"/>
  <c r="D37" i="1"/>
  <c r="D38" i="1"/>
  <c r="D39" i="1"/>
  <c r="D40" i="1"/>
  <c r="D41" i="1"/>
  <c r="D42" i="1"/>
  <c r="D43" i="1"/>
  <c r="D44" i="1"/>
  <c r="D45" i="1"/>
  <c r="D46" i="1"/>
  <c r="C22" i="1"/>
  <c r="C23" i="1"/>
  <c r="C24" i="1"/>
  <c r="C25" i="1"/>
  <c r="C26" i="1"/>
  <c r="C27" i="1"/>
  <c r="C28" i="1"/>
  <c r="C29" i="1"/>
  <c r="C30" i="1"/>
  <c r="C31" i="1"/>
  <c r="C32" i="1"/>
  <c r="C33" i="1"/>
  <c r="C34" i="1"/>
  <c r="C35" i="1"/>
  <c r="C36" i="1"/>
  <c r="C37" i="1"/>
  <c r="C38" i="1"/>
  <c r="C39" i="1"/>
  <c r="C40" i="1"/>
  <c r="C41" i="1"/>
  <c r="C42" i="1"/>
  <c r="C43" i="1"/>
  <c r="C44" i="1"/>
  <c r="C45" i="1"/>
  <c r="C46" i="1"/>
  <c r="A169" i="30"/>
  <c r="A170" i="30"/>
  <c r="A171" i="30"/>
  <c r="A172" i="30"/>
  <c r="A173" i="30"/>
  <c r="A174" i="30"/>
  <c r="A185" i="30"/>
  <c r="A186" i="30"/>
  <c r="A187" i="30"/>
  <c r="A188" i="30"/>
  <c r="A189" i="30"/>
  <c r="A190" i="30"/>
  <c r="A191" i="30"/>
  <c r="A192" i="30"/>
  <c r="A193" i="30"/>
  <c r="A194" i="30"/>
  <c r="A195" i="30"/>
  <c r="A196" i="30"/>
  <c r="A197" i="30"/>
  <c r="A198" i="30"/>
  <c r="A199" i="30"/>
  <c r="A200" i="30"/>
  <c r="A201" i="30"/>
  <c r="A202" i="30"/>
  <c r="A203" i="30"/>
  <c r="A204" i="30"/>
  <c r="A205" i="30"/>
  <c r="A206" i="30"/>
  <c r="A207" i="30"/>
  <c r="A208" i="30"/>
  <c r="A209" i="30"/>
  <c r="A210" i="30"/>
  <c r="A211" i="30"/>
  <c r="A212" i="30"/>
  <c r="A213" i="30"/>
  <c r="A214" i="30"/>
  <c r="A215" i="30"/>
  <c r="A216" i="30"/>
  <c r="A217" i="30"/>
  <c r="A218" i="30"/>
  <c r="A219" i="30"/>
  <c r="A220" i="30"/>
  <c r="A221" i="30"/>
  <c r="A222" i="30"/>
  <c r="A223" i="30"/>
  <c r="A224" i="30"/>
  <c r="A225" i="30"/>
  <c r="A226" i="30"/>
  <c r="A227" i="30"/>
  <c r="A228" i="30"/>
  <c r="A229" i="30"/>
  <c r="A230" i="30"/>
  <c r="A231" i="30"/>
  <c r="A232" i="30"/>
  <c r="A233" i="30"/>
  <c r="A234" i="30"/>
  <c r="A235" i="30"/>
  <c r="A236" i="30"/>
  <c r="A237" i="30"/>
  <c r="A238" i="30"/>
  <c r="A239" i="30"/>
  <c r="A240" i="30"/>
  <c r="A241" i="30"/>
  <c r="A242" i="30"/>
  <c r="A243" i="30"/>
  <c r="A244" i="30"/>
  <c r="A245" i="30"/>
  <c r="A246" i="30"/>
  <c r="A247" i="30"/>
  <c r="A248" i="30"/>
  <c r="A249" i="30"/>
  <c r="A250" i="30"/>
  <c r="A251" i="30"/>
  <c r="A252" i="30"/>
  <c r="A253" i="30"/>
  <c r="A254" i="30"/>
  <c r="A255" i="30"/>
  <c r="A256" i="30"/>
  <c r="A257" i="30"/>
  <c r="A258" i="30"/>
  <c r="A259" i="30"/>
  <c r="A260" i="30"/>
  <c r="A261" i="30"/>
  <c r="A262" i="30"/>
  <c r="A263" i="30"/>
  <c r="A264" i="30"/>
  <c r="A265" i="30"/>
  <c r="A266" i="30"/>
  <c r="A267" i="30"/>
  <c r="A268" i="30"/>
  <c r="A269" i="30"/>
  <c r="A270" i="30"/>
  <c r="A271" i="30"/>
  <c r="A272" i="30"/>
  <c r="A273" i="30"/>
  <c r="A274" i="30"/>
  <c r="A275" i="30"/>
  <c r="A276" i="30"/>
  <c r="A277" i="30"/>
  <c r="A278" i="30"/>
  <c r="A279" i="30"/>
  <c r="A280" i="30"/>
  <c r="A281" i="30"/>
  <c r="A282" i="30"/>
  <c r="A283" i="30"/>
  <c r="A284" i="30"/>
  <c r="A285" i="30"/>
  <c r="A286" i="30"/>
  <c r="A287" i="30"/>
  <c r="A288" i="30"/>
  <c r="A289" i="30"/>
  <c r="A290" i="30"/>
  <c r="B2" i="32" l="1"/>
  <c r="B3" i="32"/>
  <c r="B4" i="32"/>
  <c r="B5" i="32"/>
  <c r="B6" i="32"/>
  <c r="B7" i="32"/>
  <c r="B8" i="32"/>
  <c r="B9" i="32"/>
  <c r="B10" i="32"/>
  <c r="J3" i="34"/>
  <c r="J4" i="34"/>
  <c r="J5" i="34"/>
  <c r="J6" i="34"/>
  <c r="J2" i="34"/>
  <c r="I3" i="34"/>
  <c r="I4" i="34"/>
  <c r="I5" i="34"/>
  <c r="I6" i="34"/>
  <c r="I2" i="34"/>
  <c r="H3" i="34"/>
  <c r="H4" i="34"/>
  <c r="H5" i="34"/>
  <c r="H6" i="34"/>
  <c r="H2" i="34"/>
  <c r="G3" i="34"/>
  <c r="G4" i="34"/>
  <c r="G5" i="34"/>
  <c r="G6" i="34"/>
  <c r="G2" i="34"/>
  <c r="F3" i="34"/>
  <c r="F4" i="34"/>
  <c r="F5" i="34"/>
  <c r="F6" i="34"/>
  <c r="F2" i="34"/>
  <c r="E3" i="34"/>
  <c r="E4" i="34"/>
  <c r="E5" i="34"/>
  <c r="E6" i="34"/>
  <c r="E2" i="34"/>
  <c r="D3" i="34"/>
  <c r="D4" i="34"/>
  <c r="D5" i="34"/>
  <c r="D6" i="34"/>
  <c r="D2" i="34"/>
  <c r="C3" i="34"/>
  <c r="C4" i="34"/>
  <c r="C5" i="34"/>
  <c r="C6" i="34"/>
  <c r="C2" i="34"/>
  <c r="B3" i="34"/>
  <c r="B6" i="34"/>
  <c r="B5" i="34"/>
  <c r="B4" i="34"/>
  <c r="B2" i="34"/>
  <c r="A130" i="30"/>
  <c r="A131" i="30"/>
  <c r="A132" i="30"/>
  <c r="A133" i="30"/>
  <c r="A134" i="30"/>
  <c r="A135" i="30"/>
  <c r="A136" i="30"/>
  <c r="A106" i="30"/>
  <c r="A107" i="30"/>
  <c r="A108" i="30"/>
  <c r="A109" i="30"/>
  <c r="A110" i="30"/>
  <c r="A111" i="30"/>
  <c r="A112" i="30"/>
  <c r="A137" i="30"/>
  <c r="A138" i="30"/>
  <c r="A139" i="30"/>
  <c r="A140" i="30"/>
  <c r="A141" i="30"/>
  <c r="A142" i="30"/>
  <c r="A98" i="30"/>
  <c r="A99" i="30"/>
  <c r="A100" i="30"/>
  <c r="A101" i="30"/>
  <c r="A102" i="30"/>
  <c r="A103" i="30"/>
  <c r="A104" i="30"/>
  <c r="A105" i="30"/>
  <c r="A38" i="30"/>
  <c r="A39" i="30"/>
  <c r="A40" i="30"/>
  <c r="A41" i="30"/>
  <c r="A42" i="30"/>
  <c r="A43" i="30"/>
  <c r="A44" i="30"/>
  <c r="A45" i="30"/>
  <c r="A46" i="30"/>
  <c r="A47" i="30"/>
  <c r="A143" i="30"/>
  <c r="A144" i="30"/>
  <c r="A145" i="30"/>
  <c r="A146" i="30"/>
  <c r="A147" i="30"/>
  <c r="A148" i="30"/>
  <c r="A149" i="30"/>
  <c r="A150" i="30"/>
  <c r="A151" i="30"/>
  <c r="A152" i="30"/>
  <c r="A161" i="30"/>
  <c r="A162" i="30"/>
  <c r="A163" i="30"/>
  <c r="A164" i="30"/>
  <c r="A165" i="30"/>
  <c r="A166" i="30"/>
  <c r="A167" i="30"/>
  <c r="A168" i="30"/>
  <c r="A72" i="30"/>
  <c r="A73" i="30"/>
  <c r="A74" i="30"/>
  <c r="A75" i="30"/>
  <c r="A76" i="30"/>
  <c r="A77" i="30"/>
  <c r="A153" i="30"/>
  <c r="A154" i="30"/>
  <c r="A155" i="30"/>
  <c r="A156" i="30"/>
  <c r="A157" i="30"/>
  <c r="A158" i="30"/>
  <c r="A159" i="30"/>
  <c r="A160" i="30"/>
  <c r="A119" i="30"/>
  <c r="A120" i="30"/>
  <c r="A121" i="30"/>
  <c r="A122" i="30"/>
  <c r="A123" i="30"/>
  <c r="A124" i="30"/>
  <c r="A125" i="30"/>
  <c r="A126" i="30"/>
  <c r="A127" i="30"/>
  <c r="A128" i="30"/>
  <c r="A62" i="30"/>
  <c r="A63" i="30"/>
  <c r="A64" i="30"/>
  <c r="A65" i="30"/>
  <c r="A66" i="30"/>
  <c r="A67" i="30"/>
  <c r="A68" i="30"/>
  <c r="A69" i="30"/>
  <c r="A70" i="30"/>
  <c r="A71" i="30"/>
  <c r="A2" i="30"/>
  <c r="A3" i="30"/>
  <c r="A4" i="30"/>
  <c r="A5" i="30"/>
  <c r="A6" i="30"/>
  <c r="A7" i="30"/>
  <c r="A8" i="30"/>
  <c r="A9" i="30"/>
  <c r="A10" i="30"/>
  <c r="A11" i="30"/>
  <c r="A12" i="30"/>
  <c r="A13" i="30"/>
  <c r="A14" i="30"/>
  <c r="A15" i="30"/>
  <c r="A78" i="30"/>
  <c r="A79" i="30"/>
  <c r="A80" i="30"/>
  <c r="A81" i="30"/>
  <c r="A82" i="30"/>
  <c r="A83" i="30"/>
  <c r="A84" i="30"/>
  <c r="A85" i="30"/>
  <c r="A86" i="30"/>
  <c r="A87" i="30"/>
  <c r="A88" i="30"/>
  <c r="A89" i="30"/>
  <c r="A90" i="30"/>
  <c r="A91" i="30"/>
  <c r="A92" i="30"/>
  <c r="A93" i="30"/>
  <c r="A94" i="30"/>
  <c r="A95" i="30"/>
  <c r="A96" i="30"/>
  <c r="A97" i="30"/>
  <c r="A24" i="30"/>
  <c r="A25" i="30"/>
  <c r="A26" i="30"/>
  <c r="A27" i="30"/>
  <c r="A28" i="30"/>
  <c r="A29" i="30"/>
  <c r="A30" i="30"/>
  <c r="A31" i="30"/>
  <c r="A32" i="30"/>
  <c r="A33" i="30"/>
  <c r="A34" i="30"/>
  <c r="A35" i="30"/>
  <c r="A36" i="30"/>
  <c r="A37" i="30"/>
  <c r="A16" i="30"/>
  <c r="A17" i="30"/>
  <c r="A18" i="30"/>
  <c r="A19" i="30"/>
  <c r="A20" i="30"/>
  <c r="A21" i="30"/>
  <c r="A22" i="30"/>
  <c r="A23" i="30"/>
  <c r="A113" i="30"/>
  <c r="A114" i="30"/>
  <c r="A115" i="30"/>
  <c r="A116" i="30"/>
  <c r="A117" i="30"/>
  <c r="A118" i="30"/>
  <c r="A48" i="30"/>
  <c r="A49" i="30"/>
  <c r="A50" i="30"/>
  <c r="A51" i="30"/>
  <c r="A52" i="30"/>
  <c r="A53" i="30"/>
  <c r="A54" i="30"/>
  <c r="A55" i="30"/>
  <c r="A56" i="30"/>
  <c r="A57" i="30"/>
  <c r="A58" i="30"/>
  <c r="A59" i="30"/>
  <c r="A60" i="30"/>
  <c r="A61" i="30"/>
  <c r="A129" i="30"/>
  <c r="C21" i="1"/>
  <c r="D21" i="1"/>
  <c r="C19" i="1"/>
  <c r="C20" i="1"/>
  <c r="K2" i="34" l="1"/>
  <c r="K3" i="34"/>
  <c r="K4" i="34"/>
  <c r="K5" i="34"/>
  <c r="K6" i="34"/>
  <c r="C18" i="1"/>
  <c r="D18" i="1"/>
  <c r="D19" i="1"/>
  <c r="D20" i="1"/>
  <c r="A3" i="19"/>
  <c r="A4" i="19"/>
  <c r="A5" i="19" s="1"/>
  <c r="A6" i="19" s="1"/>
  <c r="A7" i="19" s="1"/>
  <c r="A8" i="19" s="1"/>
  <c r="A2" i="19"/>
  <c r="C17" i="1"/>
  <c r="D17" i="1"/>
  <c r="C15" i="13" s="1"/>
  <c r="B16" i="13"/>
  <c r="B3" i="13"/>
  <c r="B27" i="13"/>
  <c r="D15" i="1"/>
  <c r="D16" i="1"/>
  <c r="C10" i="13" s="1"/>
  <c r="D3" i="1"/>
  <c r="D4" i="1"/>
  <c r="D5" i="1"/>
  <c r="D6" i="1"/>
  <c r="D7" i="1"/>
  <c r="D8" i="1"/>
  <c r="D9" i="1"/>
  <c r="D10" i="1"/>
  <c r="D11" i="1"/>
  <c r="D12" i="1"/>
  <c r="D13" i="1"/>
  <c r="D14" i="1"/>
  <c r="C26" i="13" s="1"/>
  <c r="D2" i="1"/>
  <c r="C3" i="1"/>
  <c r="C4" i="1"/>
  <c r="C5" i="1"/>
  <c r="C6" i="1"/>
  <c r="C7" i="1"/>
  <c r="C8" i="1"/>
  <c r="C9" i="1"/>
  <c r="C10" i="1"/>
  <c r="C11" i="1"/>
  <c r="C12" i="1"/>
  <c r="C13" i="1"/>
  <c r="C14" i="1"/>
  <c r="C15" i="1"/>
  <c r="C16" i="1"/>
  <c r="C2" i="1"/>
  <c r="T5" i="16"/>
  <c r="S5" i="16"/>
  <c r="R5" i="16"/>
  <c r="T4" i="16"/>
  <c r="S4" i="16"/>
  <c r="R4" i="16"/>
  <c r="T3" i="16"/>
  <c r="S3" i="16"/>
  <c r="R3" i="16"/>
  <c r="K7" i="34" l="1"/>
  <c r="B8" i="13"/>
  <c r="U3" i="16"/>
  <c r="B6" i="13"/>
  <c r="B5" i="13"/>
  <c r="C9" i="13"/>
  <c r="C8" i="13"/>
  <c r="C7" i="13"/>
  <c r="B15" i="13"/>
  <c r="C14" i="13"/>
  <c r="B14" i="13"/>
  <c r="B7" i="13"/>
  <c r="B26" i="13"/>
  <c r="C25" i="13"/>
  <c r="B25" i="13"/>
  <c r="B2" i="13"/>
  <c r="C6" i="13"/>
  <c r="C13" i="13"/>
  <c r="C24" i="13"/>
  <c r="B11" i="13"/>
  <c r="C5" i="13"/>
  <c r="B13" i="13"/>
  <c r="B24" i="13"/>
  <c r="B10" i="13"/>
  <c r="C4" i="13"/>
  <c r="C12" i="13"/>
  <c r="C23" i="13"/>
  <c r="B9" i="13"/>
  <c r="C3" i="13"/>
  <c r="B12" i="13"/>
  <c r="B23" i="13"/>
  <c r="C19" i="13"/>
  <c r="C22" i="13"/>
  <c r="T6" i="16"/>
  <c r="B19" i="13"/>
  <c r="B22" i="13"/>
  <c r="C18" i="13"/>
  <c r="C21" i="13"/>
  <c r="B18" i="13"/>
  <c r="B21" i="13"/>
  <c r="S6" i="16"/>
  <c r="B4" i="13"/>
  <c r="C17" i="13"/>
  <c r="C28" i="13"/>
  <c r="C20" i="13"/>
  <c r="B17" i="13"/>
  <c r="B28" i="13"/>
  <c r="B20" i="13"/>
  <c r="C2" i="13"/>
  <c r="C16" i="13"/>
  <c r="C27" i="13"/>
  <c r="C11" i="13"/>
  <c r="U4" i="16"/>
  <c r="U5" i="16"/>
  <c r="R6" i="16"/>
  <c r="V4" i="16" s="1"/>
  <c r="U6" i="16" l="1"/>
  <c r="V3" i="16"/>
  <c r="V5" i="16"/>
  <c r="V6" i="1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tc={770B3D82-BFF0-49F0-BD31-E9944D475DDF}</author>
    <author>tc={83992CE8-066F-47D9-A4D6-D6C4A0580C78}</author>
    <author>tc={76E82374-C32B-48FA-9745-7685B9F73FB8}</author>
    <author>tc={B52FC53E-E294-4E51-A3D2-7D6842882D54}</author>
    <author>tc={6396C1B2-E8D8-4252-9C30-A5B60357EC29}</author>
    <author>tc={AB9AE005-98F8-4FBF-8DC1-55DB29C337AF}</author>
    <author>tc={D0F09164-B896-4778-BB82-14C5415E1848}</author>
  </authors>
  <commentList>
    <comment ref="D8" authorId="0" shapeId="0" xr:uid="{770B3D82-BFF0-49F0-BD31-E9944D475DD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Verificar se ele fica abaixo da Adriana.
</t>
      </text>
    </comment>
    <comment ref="D17" authorId="1" shapeId="0" xr:uid="{83992CE8-066F-47D9-A4D6-D6C4A0580C7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Verificar se ele fica abaixo da Adriana
</t>
      </text>
    </comment>
    <comment ref="D49" authorId="2" shapeId="0" xr:uid="{76E82374-C32B-48FA-9745-7685B9F73FB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Após 27/02
</t>
      </text>
    </comment>
    <comment ref="H81" authorId="3" shapeId="0" xr:uid="{B52FC53E-E294-4E51-A3D2-7D6842882D5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Mesmo nome que a VP do Waldo? 
</t>
      </text>
    </comment>
    <comment ref="D98" authorId="4" shapeId="0" xr:uid="{6396C1B2-E8D8-4252-9C30-A5B60357EC29}">
      <text>
        <t>[Comentário encadeado]
Sua versão do Excel permite que você leia este comentário encadeado, no entanto, as edições serão removidas se o arquivo for aberto em uma versão mais recente do Excel. Saiba mais: https://go.microsoft.com/fwlink/?linkid=870924
Comentário:
    PRIORIZAR ENTREVISTA POIS ESTÁ SAINDO</t>
      </text>
    </comment>
    <comment ref="D121" authorId="5" shapeId="0" xr:uid="{AB9AE005-98F8-4FBF-8DC1-55DB29C337A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FÉRIAS - RETORNA EM 20d
</t>
      </text>
    </comment>
    <comment ref="D127" authorId="6" shapeId="0" xr:uid="{D0F09164-B896-4778-BB82-14C5415E1848}">
      <text>
        <t>[Comentário encadeado]
Sua versão do Excel permite que você leia este comentário encadeado, no entanto, as edições serão removidas se o arquivo for aberto em uma versão mais recente do Excel. Saiba mais: https://go.microsoft.com/fwlink/?linkid=870924
Comentário:
    Não identifiquei a quem está ligada - Deixar em uma caixa solta no N6 (Fabio Henrique Roncalho?)</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<sst xmlns="http://schemas.openxmlformats.org/spreadsheetml/2006/main" count="12818" uniqueCount="1917">
  <si>
    <t>Disciplinas</t>
  </si>
  <si>
    <t>Gravidade</t>
  </si>
  <si>
    <t>Abrangência</t>
  </si>
  <si>
    <t>Recorrente</t>
  </si>
  <si>
    <t>Tensões</t>
  </si>
  <si>
    <t>Governança e Gestão de Portfólio</t>
  </si>
  <si>
    <t>1 - Baixo (Pontual / Localizado)</t>
  </si>
  <si>
    <t>Local</t>
  </si>
  <si>
    <t>Sim</t>
  </si>
  <si>
    <t>Estrutural</t>
  </si>
  <si>
    <t>Planejamento e Controle Integrado</t>
  </si>
  <si>
    <t>2 - Moderado (Afeta eficiência)</t>
  </si>
  <si>
    <t>Multi-Projeto</t>
  </si>
  <si>
    <t>Não</t>
  </si>
  <si>
    <t>Processual</t>
  </si>
  <si>
    <t>Estimativas e Gestão de Custos</t>
  </si>
  <si>
    <t>3 - Relevante (Afeta previsibilidade)</t>
  </si>
  <si>
    <t>Organizacional</t>
  </si>
  <si>
    <t>Informacional</t>
  </si>
  <si>
    <t>Gestão Contratual e Riscos</t>
  </si>
  <si>
    <t>4 - Alto (Impacto estrutural)</t>
  </si>
  <si>
    <t>Sistêmico</t>
  </si>
  <si>
    <t>Técnica</t>
  </si>
  <si>
    <t>Governança Técnica e Engenharia</t>
  </si>
  <si>
    <t>5 - Crítico (Risco sistêmico)</t>
  </si>
  <si>
    <t>Financeira</t>
  </si>
  <si>
    <t>Suprimentos e Estratégia de Contratação</t>
  </si>
  <si>
    <t>Incentivos e Cultura</t>
  </si>
  <si>
    <t>Tecnologia, Dados e Sistemas</t>
  </si>
  <si>
    <t>Capacidade</t>
  </si>
  <si>
    <t>Organização, Cultura e Modelo Operacional</t>
  </si>
  <si>
    <t>1️⃣ Local / Pontual</t>
  </si>
  <si>
    <t>Um projeto específico</t>
  </si>
  <si>
    <t>Uma equipe específica</t>
  </si>
  <si>
    <t>Um contrato específico</t>
  </si>
  <si>
    <t>Sem impacto estruturante no portfólio.</t>
  </si>
  <si>
    <t>2️⃣ Multi-Projeto</t>
  </si>
  <si>
    <t>Mais de um projeto</t>
  </si>
  <si>
    <t>Uma plataforma</t>
  </si>
  <si>
    <t>Uma carteira específica</t>
  </si>
  <si>
    <t>Impacta eficiência, mas não toda a empresa.</t>
  </si>
  <si>
    <t>3️⃣ Organizacional</t>
  </si>
  <si>
    <t>Afeta:</t>
  </si>
  <si>
    <t>Múltiplas plataformas</t>
  </si>
  <si>
    <t>Interface entre áreas</t>
  </si>
  <si>
    <t>Modelo de governança corporativa</t>
  </si>
  <si>
    <t>Impacto relevante na previsibilidade de CAPEX.</t>
  </si>
  <si>
    <t>4️⃣ Sistêmico / Corporativo</t>
  </si>
  <si>
    <t>Modelo estrutural de CAPEX</t>
  </si>
  <si>
    <t>Governança executiva</t>
  </si>
  <si>
    <t>Consolidação financeira</t>
  </si>
  <si>
    <t>Conselho / Auditoria</t>
  </si>
  <si>
    <t>Impacto transversal e estratégico.</t>
  </si>
  <si>
    <t>Estrutura completa do diagnóstico</t>
  </si>
  <si>
    <t>Nível 2 — Problema estrutural</t>
  </si>
  <si>
    <t>Coordenação interáreas insuficiente e decisões ad hoc</t>
  </si>
  <si>
    <t>Integração Organizacional</t>
  </si>
  <si>
    <t>Nível 5 — Impacto no CAPEX</t>
  </si>
  <si>
    <t>Disciplina</t>
  </si>
  <si>
    <t>Definição</t>
  </si>
  <si>
    <t>Impactos</t>
  </si>
  <si>
    <t>Prazo e Confiabilidade do Cronograma</t>
  </si>
  <si>
    <t>Custos e Contingências</t>
  </si>
  <si>
    <t>Governança e Performance do Portfólio</t>
  </si>
  <si>
    <t>Eficiência Operacional</t>
  </si>
  <si>
    <t>Riscos e Incertezas</t>
  </si>
  <si>
    <t>Maturidade Técnica e Engenharia</t>
  </si>
  <si>
    <t>Contratos e Cadeia de Fornecimento</t>
  </si>
  <si>
    <t>Dados, Sistemas e Informação</t>
  </si>
  <si>
    <t>Planejamento e Baseline</t>
  </si>
  <si>
    <t>Gestão Contratual e Pleitos</t>
  </si>
  <si>
    <t>Dados, Sistemas e Rastreabilidade</t>
  </si>
  <si>
    <t>Engenharia e Maturidade Técnica</t>
  </si>
  <si>
    <t>entrevista_id</t>
  </si>
  <si>
    <t>Nome</t>
  </si>
  <si>
    <t>Cargo</t>
  </si>
  <si>
    <t>Diretoria</t>
  </si>
  <si>
    <t>Plataforma</t>
  </si>
  <si>
    <t>Área</t>
  </si>
  <si>
    <t>Nível</t>
  </si>
  <si>
    <t>Data</t>
  </si>
  <si>
    <t>Paulo Cesar Martins Amaral</t>
  </si>
  <si>
    <t>Administração Contratual</t>
  </si>
  <si>
    <t>Operacional</t>
  </si>
  <si>
    <t>Paulo Henrique de Almeida Aredes</t>
  </si>
  <si>
    <t>Contratos e Riscos</t>
  </si>
  <si>
    <t>Rodrigo Correa de Souza</t>
  </si>
  <si>
    <t>Engenharia de Implantação / Qualidade</t>
  </si>
  <si>
    <t>Rodrigo Mitsuo Kise</t>
  </si>
  <si>
    <t>Gestão de Capex / Projetos</t>
  </si>
  <si>
    <t>Tático</t>
  </si>
  <si>
    <t>Emilio Simon Povoa</t>
  </si>
  <si>
    <t>Engenharia de Implantação</t>
  </si>
  <si>
    <t>Vanilza de Souza Pandolfo</t>
  </si>
  <si>
    <t>Gestão de Riscos de Projetos</t>
  </si>
  <si>
    <t>William Nascimento Marins</t>
  </si>
  <si>
    <t>PMO / Demais Empreendimentos</t>
  </si>
  <si>
    <t>Michel Simoes Araujo</t>
  </si>
  <si>
    <t>Capex / Engenharia</t>
  </si>
  <si>
    <t>Jean Carlos Bonin da Silva</t>
  </si>
  <si>
    <t>Planejamento / PMO</t>
  </si>
  <si>
    <t>Rebeka Yang Wang</t>
  </si>
  <si>
    <t>PMO Engenharia Trilhos</t>
  </si>
  <si>
    <t>Ricardo Alexandre Benicio</t>
  </si>
  <si>
    <t>Engenharia de Operação e Manutenção / Expansão Linha 4</t>
  </si>
  <si>
    <t>Estratégico</t>
  </si>
  <si>
    <t>Elmo Serejo Pithon Copello</t>
  </si>
  <si>
    <t>Projetos – Demais Empreendimentos</t>
  </si>
  <si>
    <t>Demais Empreendimentos</t>
  </si>
  <si>
    <t>Sabrina Santos Pedroso</t>
  </si>
  <si>
    <t>Gestão de Riscos</t>
  </si>
  <si>
    <t>Luiz Gustavo Degan Franchim</t>
  </si>
  <si>
    <t>Suprimentos</t>
  </si>
  <si>
    <t>Adriana Martins dos Santos</t>
  </si>
  <si>
    <t>Danieli Patricia Ribeiro</t>
  </si>
  <si>
    <t>Guilherme Tellis</t>
  </si>
  <si>
    <t>Entrevistado</t>
  </si>
  <si>
    <t>Gerência Executiva</t>
  </si>
  <si>
    <t>Evidência Literal</t>
  </si>
  <si>
    <t>Problema Estrutural</t>
  </si>
  <si>
    <t>Impacto</t>
  </si>
  <si>
    <t>Trilhos</t>
  </si>
  <si>
    <t>“Suprimentos atende sob demanda. Mas como a gente faz assim, que suprimentos realmente viva o dia a dia do negócio, não necessariamente ando dentro do negócio, não é isso não.”</t>
  </si>
  <si>
    <t>Contratações sem planejamento e escopo maturado</t>
  </si>
  <si>
    <t>“Eu não transfiro gestão contratual de nenhum contrato de Capex para a operação ou para manutenção.”</t>
  </si>
  <si>
    <t>Governança de custos e contingências insuficiente</t>
  </si>
  <si>
    <t>Custos e contingências</t>
  </si>
  <si>
    <t>“Hoje não existe uma integração sistêmica... é um sofrimento que a gente pelo menos acompanha para conseguir as informações.”</t>
  </si>
  <si>
    <t>“Eu não sou surpreendida, AI, eu não sabia, AI tem um aditivo. Então a gente tem processo de gestão de mudança.”</t>
  </si>
  <si>
    <t>Gestão contratual reativa e com pleitos</t>
  </si>
  <si>
    <t>Andre Luis Teixeira Oliveira Freitas</t>
  </si>
  <si>
    <t>“Hoje fica muito ou na máquina da pessoa ou na cabeça da pessoa. Então saiu a pessoa, você perdeu o histórico, sim.”</t>
  </si>
  <si>
    <t>Perda de conhecimento por baixa rastreabilidade</t>
  </si>
  <si>
    <t>Dados e Sistemas</t>
  </si>
  <si>
    <t>“Informação não é 100% confiável, tem que cruzar dados de diferentes fontes e validar manualmente.”</t>
  </si>
  <si>
    <t>Dados não confiáveis e sem fonte única</t>
  </si>
  <si>
    <t>“Às vezes quem tem que dar diretriz começa a descer demais e quem está na parte operacional acha que tem que fazer um pouco de lá.”</t>
  </si>
  <si>
    <t>“Eu sou a favor sempre do projetizado. É onde eu vejo o sucesso para a gente economizar, é o sucesso que eu vejo para a gente poder atender prazo, desburocratizar algumas coisas.”</t>
  </si>
  <si>
    <t>Baixa confiabilidade de planejamento e baseline</t>
  </si>
  <si>
    <t>“A gente desenvolveu uma matriz de raça e a própria BCG desenvolveu uma matriz de raça quando fez a reestruturação. E agora, no dia a dia, a gente também está tendo que dar uma ajustada nessa matriz.”</t>
  </si>
  <si>
    <t>Papéis e alçadas pouco claros na governança</t>
  </si>
  <si>
    <t>Governança e alçadas</t>
  </si>
  <si>
    <t>“A Engenharia de Valor que ele fez recente... fomos a mercado. O valor ficou muito alto, muito acima do nosso orçamento. OPA, volta. Vamos fazer uma engenharia de valor antes de colocar no mercado.”</t>
  </si>
  <si>
    <t>“Hoje a informação chega um pouco mais tranquilo, você não vê sofrimento para se fazer chegarem e eles passam as informações... mas não é 100% confiável.”</t>
  </si>
  <si>
    <t>“Quanto mais organizada as coisas são, mais você melhora o resultado. Naturalmente, você não força um resultado bom. As coisas acontecem naturalmente.”</t>
  </si>
  <si>
    <t>Corporativo</t>
  </si>
  <si>
    <t>"O conhecimento estava muito nas pessoas... se a gente perde a pessoa para o mercado, pode gerar uma furnas ali que demore mais para se recompor."</t>
  </si>
  <si>
    <t>"A gente não tem muita rastreabilidade daquela contingência versus o que... foi usada para quê?"</t>
  </si>
  <si>
    <t>"O volume de aditivos... pode haver alguma dificuldade de a gestão do fornecedor... retrabalho grande ali, que tiveram que arrancar tudo e fazer de novo."</t>
  </si>
  <si>
    <t>"A informação demora algumas semanas ou não mandam na velocidade do fluxo de informações..."</t>
  </si>
  <si>
    <t>Fragmentação e baixa integração de sistemas</t>
  </si>
  <si>
    <t>"A Tree de segurança a gente não está precificando agora, mas sim, a gente olha o plano de redução do número de acidentes..."</t>
  </si>
  <si>
    <t>“Executaram a primeira revisão, quando já havia uma revisão posterior aprovada.”</t>
  </si>
  <si>
    <t>“Tivemos que demolir o que estava construído porque não valia a pena o risco.”</t>
  </si>
  <si>
    <t>“Projetos de 2024 sem revisão, com solicitações que nunca foram atendidas.”</t>
  </si>
  <si>
    <t>“Na primeira semana já teve um erro de operação que acabou danificando o equipamento.”</t>
  </si>
  <si>
    <t>“Quando é cobrado, não, não tá comigo, tá com tal pessoa.”</t>
  </si>
  <si>
    <t>“O projeto se iniciava com a pessoa, mudava a disciplina, ia para outra pessoa e ia mudando de pessoas até que se concluiu um projeto que não era confiável.”</t>
  </si>
  <si>
    <t>“A gente tem um olhar muito voltado para a técnica e muito pouco para a gestão do contrato em si.”</t>
  </si>
  <si>
    <t>“Era muito no feeling de quem estava tocando o projeto, não com uma governança estabelecida.”</t>
  </si>
  <si>
    <t>“Chegou agora, no início de fevereiro, revisão de projetos com comentários de fevereiro de 2025.”</t>
  </si>
  <si>
    <t>“A equipe da qualidade que entra nessa nossa pasta do Autodesk Docs, identifica os projetos liberados e passa para uma outra pasta e essa pasta é liberada para a construtora. Nisso eu já identifiquei também que informações são perdidas.”</t>
  </si>
  <si>
    <t>“A gente está criando os nossos bancos, a gente está criando tudo isso, mas a gente tem que sair agora de forma organizada, de forma direta, para daqui 1 ano, 2 anos, 3 anos, a gente tem já uma massa de dados para começar a fazer essas análises aí.”</t>
  </si>
  <si>
    <t>“Teve um acidente aqui, não todo mundo crente que a cláusula estava lá, a gente foi ver não, na negociação essa cláusula foi ajustada.”</t>
  </si>
  <si>
    <t>“Quando eu cheguei, isso estava totalmente pulverizado, as cartas, as correspondências, os contratos, aditivos, estava tudo em cada uma das verticais, em cada uma da dos gestores.”</t>
  </si>
  <si>
    <t>“Hoje eu já estou fazendo bias, eu estou fazendo um Monte de coisa aqui para propor para a empresa alguns controles, mas atualmente é a gestão de contratos. Ela é por isso que eu falei, ela é muito pulverizada, está muito solta.”</t>
  </si>
  <si>
    <t>“A gestão de risco, como tem o sistema, o arte. E a gente tem uma área de riscos corporativos, o que é transitado aqui nessa entre o risco de implantação aqui para o risco corporativo, a gente apresenta na no comitê de Capex mensal.”</t>
  </si>
  <si>
    <t>“A gestão contratual é feita. Era feita, então o disco é novo. O tatu era feito, só que feito de uma forma totalmente pulverizada, sem padrão e é sem ter aquela preocupação com o registro, com a ter o repositório.”</t>
  </si>
  <si>
    <t>“A gestão de risco é um é um tema que é novo. O ano passado foi é iniciado, instituído. Pessoal aqui fez um ótimo trabalho de implantação, tudo e eu vim para dar esse plus aí para é fazer uma gestão de risco que chega mais no front, que seja efetiva, que a gente consiga prevenir problemas e ter um agregar valor aos projetos.”</t>
  </si>
  <si>
    <t>Engenharia de valor tardia e pouco estruturada</t>
  </si>
  <si>
    <t>“Eu acho que para algumas coisas descentralizar é legal, para outras, não. Na gestão contratual, eu acho que a gente tem que ter essa padronização, esse modelo, porque senão a gente perde muito com até para fora. Olhando o mercado assim, passa um amadorismo.”</t>
  </si>
  <si>
    <t>“A gente tem que sair agora de forma organizada, de forma direta, para daqui 1 ano, 2 anos, 3 anos, a gente tem já uma massa de dados para começar a fazer essas análises aí.”</t>
  </si>
  <si>
    <t>“Hoje eu tenho controle de todas as cartas que saem da Engenharia de Plantação, é tenho o controle dos 263 contratos que a gente tem aqui na Engenharia de Plantação.”</t>
  </si>
  <si>
    <t>“A minha equipe aqui, ela tem essa missão de olhar o todo. Então, às vezes um contrato está aqui, ele está interferindo em outro e o gestor está olhando para o para a caixinha dele ali.”</t>
  </si>
  <si>
    <t>“Aqui a gente tem uma inversão, acho que até em função da questão econômica... nasce o econômico-financeiro do projeto e aí a gente faz o detalhamento do projeto, da execução física disso.”</t>
  </si>
  <si>
    <t>“A gente ainda não tem uma sinergia ou não tem uma clareza maior de como os processos funcionam ou de como os cronogramas estão construídos.”</t>
  </si>
  <si>
    <t>“Hoje um analista Junior... pode ir lá e fazer uma solicitação. E aí quando a gente vai pegar, tipo assim, a gente puxa a extração, vem lá 2000 solicitações...”</t>
  </si>
  <si>
    <t>“Hoje OPPM... eu preciso ter, vamos dizer assim, puxadinhos, aonde eu vou colocando as informações dos projetos...”</t>
  </si>
  <si>
    <t>“Eu acho que isso deveria estar direcionado a determinadas cadeiras ou posições... para ter um entendimento melhor daquilo que realmente tem que ser feito.”</t>
  </si>
  <si>
    <t>“Muitas vezes eu quero... eu tenho que ficar me atentando como está meu caixa para eu muitas vezes startar ou não determinadas frentes.”</t>
  </si>
  <si>
    <t>“Quando eu não tenho isso em sistema, obviamente eu fico dependendo de 100% aí de ação manual.”</t>
  </si>
  <si>
    <t>“A gente deixa o que eu falo, a lista de desejos aberta, qualquer um pode colocar.”</t>
  </si>
  <si>
    <t>“Eu acho que isso deveria estar direcionado a determinadas cadeiras ou posições...”</t>
  </si>
  <si>
    <t>“Eu não tenho essa rastreabilidade e aí eu posso ter divergência do número deles.”</t>
  </si>
  <si>
    <t>“Aqui a gente tem uma inversão... nasce o econômico-financeiro do projeto e aí a gente faz o detalhamento do projeto, da execução física disso.”</t>
  </si>
  <si>
    <t>"Engenheiro atrasou a análise contratual, que era de 12 dias, passou a 23 dias."</t>
  </si>
  <si>
    <t>"A GTC não está querendo abrir para ninguém essas restrições a longo prazo."</t>
  </si>
  <si>
    <t>"Se uma pessoa chave sai amanhã, impossível manter o processo sem perder qualidade."</t>
  </si>
  <si>
    <t>"A gente está patinando um pouco nesse início, porque mudou muita coisa nesse processo."</t>
  </si>
  <si>
    <t>"Eu achava que esse papel de consolidar plataformas não era da Engenharia, era do corporativo."</t>
  </si>
  <si>
    <t>Juliana Magalhaes Vasconcelos Salomao</t>
  </si>
  <si>
    <t>N/D</t>
  </si>
  <si>
    <t>“Eu preciso saber o que eu quero para poder saber se ele tem capacidade, não é?”</t>
  </si>
  <si>
    <t>“Geralmente os nossos fornecedores críticos, eles representam quase 80% do nosso valor de capex, tá?”</t>
  </si>
  <si>
    <t>“Existe uma pressão grande aí para às vezes a gente colocar uma empresa que não está aderente naquele momento...”</t>
  </si>
  <si>
    <t>“Um fornecedor novo eu não tenho nem como avaliar. Só consigo avaliar financeiramente. Ele não consigo avaliar com métrica, não é?”</t>
  </si>
  <si>
    <t>“A gente está com trabalho de automação, tá? Ele ainda acaba demorando aí de 1 a 2 dias para que seja... ainda não é em tempo real...”</t>
  </si>
  <si>
    <t>“A gente ainda tem essa carência, é de ter aí a visão do processo.”</t>
  </si>
  <si>
    <t>“A gente tem dificuldade assim, é grande de enxergar isso no próprio SAF, de enxergar isso via PEP, não tem uma estrutura cascateada...”</t>
  </si>
  <si>
    <t>Rodovias</t>
  </si>
  <si>
    <t>“apagar incêndios”</t>
  </si>
  <si>
    <t>“Se eu for para o mercado sem projeto, eles vão precificar esse risco.”</t>
  </si>
  <si>
    <t>“A base é inconsistente. Eles reportam um número que não é verdade.”</t>
  </si>
  <si>
    <t>“Cara, eu acho que tinha muita gente para ser responsável por capric, sabe? Vai, o pessoal vai começar a bater a cabeça aí.”</t>
  </si>
  <si>
    <t>“A bola está dividida.”</t>
  </si>
  <si>
    <t>“Mesmo dentro de rodovias, às vezes a gente não consegue se energia entre as unidades de negócio.”</t>
  </si>
  <si>
    <t>“Se eu só ficar pagando incêndio, até aquilo que não é urgente vira.”</t>
  </si>
  <si>
    <t>“São 2 empresas diferentes dentro da mesma empresa.”</t>
  </si>
  <si>
    <t>“Pode chegar lá em setembro, o cara fala, esquece primavera, vai ser a Microsoft, pô, então que eu fiz durante um ano e meio aqui?”</t>
  </si>
  <si>
    <t>“Hoje qualquer pessoa que sai, principalmente nessa esteira, porque a gente tem uma esteira que eu falo que é interminável e incansável... quando alguém dessa esteira, ele é impactado, a gente tem um pouquinho de problema na operação.”</t>
  </si>
  <si>
    <t>“Hoje eu respondo por um passivo omisso que eu não tenho nenhuma forma de, digamos, falar assim, pô, como que eu posso reduzir?”</t>
  </si>
  <si>
    <t>“Eu sou um cara muito insatisfeito no meu CSC, porque a gente paga um valor que ele é alto e eu acho que eu não sou bem atendido.”</t>
  </si>
  <si>
    <t>“Se você fizer um mapeamento de quantos sistemas tem na motiva hoje, você vai listar uns 300. Só que o problema é que eles não se falam.”</t>
  </si>
  <si>
    <t>“Eu pago hoje, via rateio, uma sustentação CSC, por que eu da engenharia, além de pagar, eu tenho que ficar fazendo também?”</t>
  </si>
  <si>
    <t>“Hoje aqui na Tree a gente tem um pouco de dor. Por quê? Porque essa conta não é feita assim. A gente acaba tendo que fazer como se fosse uma geração de caixa.”</t>
  </si>
  <si>
    <t>“Hoje, quando perguntam para mim, qual que é o melhor? É o Office da o 365 plan ou é o primavera? Pô, eu sou defensor de primavera porque você consegue colocar todo o recurso, você gera tudo.”</t>
  </si>
  <si>
    <t>“Hoje eu não consigo falar assim. Hoje eu não tenho luxo de falar assim, pô, eu vou. Eu tenho 23 pessoas aqui que está em desenvolvimento. Eu vou colocar esse cara aqui só para ver metodologia.”</t>
  </si>
  <si>
    <t>“O cara com as obras dele ali pegando fogo e o cara tendo que parar o que está fazendo para ficar correndo atrás de demanda administrativa.”</t>
  </si>
  <si>
    <t>"Olho os contratos de Moraes de Moraes atrás, nossa, dá vontade de chorar, porque é o mínimo de informação que você tem."</t>
  </si>
  <si>
    <t>"Hoje você consegue ter essa visão. Ou não? Não. Isso para mim é uma, é uma, é uma oportunidade."</t>
  </si>
  <si>
    <t>"Esse problema é nosso. Não tem como a gente pleitear o poder concedente."</t>
  </si>
  <si>
    <t>"Aqui é impossível. A gente não consegue."</t>
  </si>
  <si>
    <t>"A gente coloca em alguns contratos. Tem, tem de medição aí. O ideal é que a gente faça isso mais para o mais para o final, não é?"</t>
  </si>
  <si>
    <t>“ganhou, mas não levou”</t>
  </si>
  <si>
    <t>“sentimento de dono”</t>
  </si>
  <si>
    <t>“A construtora tem direito a receber... mas pode ser que o poder concedente não aceite.”</t>
  </si>
  <si>
    <t>“A tomada de decisão vai sair nesse sentido... eu deixo de fazer aqui porque estou aguardando essa resposta... posso até brigar lá depois porque não cumpri porque o poder concedente não me avisou.”</t>
  </si>
  <si>
    <t>“Não existe um local unificado que a gente consiga fazer tudo isso.”</t>
  </si>
  <si>
    <t>“O engenheiro, como é uma figura nova, não tem em alguns pontos o sentimento de dono ali do processo como um todo.”</t>
  </si>
  <si>
    <t>“Hoje a gente já tem, se eu não me engano, 114 cartas recebidas e, sei lá, 90 do engenheiro para o empreiteiro.”</t>
  </si>
  <si>
    <t>“Acho que junto com governança, a gente não vou falar burocracia, mas a gente tem certas burocracias também que travam um pouco o processo.”</t>
  </si>
  <si>
    <t>“Existe a possibilidade do engenheiro e agente aprovar o mérito do pleito, construir todo o pleito e chegar no poder concedente. E ele fala, não, eu não aceito, não concordo com isso. E o pleito não tem mérito. Aí o famoso ganhou, mas não levou.”</t>
  </si>
  <si>
    <t>“A gente não tem uma plataforma que unifique esses dois então hoje... não existe um local unificado que a gente consiga fazer tudo isso.”</t>
  </si>
  <si>
    <t>“Por mais que teoricamente a responsabilidade seja toda do Engenharia, a gente tem um time ali por trás que tá atuando também fazendo todo o trabalho.”</t>
  </si>
  <si>
    <t>“A tomada de decisão vai sair nesse sentido... eu deixo de fazer aqui porque estou aguardando essa resposta... posso até brigar lá depois porque não cumpri porque o poder concedente não me avisou, mas eu vou ter descumprido o Marco ou eu assumo o risco e bola para frente aqui eu tenho certeza que vai passar e vamos nessa.”</t>
  </si>
  <si>
    <t>“Se você somar as gestões, não dá o total da unidade.”</t>
  </si>
  <si>
    <t>“Por muitas vezes eu acabo não recebendo no prazo e o prazo final continua sendo o mesmo.”</t>
  </si>
  <si>
    <t>“A chance de erro é muito grande, o esforço é muito grande, o retrabalho.”</t>
  </si>
  <si>
    <t>“Tem coisa que às vezes eu atendo, que talvez não deveria ser eu.”</t>
  </si>
  <si>
    <t>“Sempre ficam valores não atribuídos que ninguém atribui a ninguém.”</t>
  </si>
  <si>
    <t>“A nas unidades eu sinto um pouco de resistência... depois volta cada unidade fazendo da sua forma.”</t>
  </si>
  <si>
    <t>“Não é a padronização, é o cumprimento de prazo.”</t>
  </si>
  <si>
    <t>“Eu não sei nem se é duplicidade, mas talvez uma falta de definição de papéis e responsabilidades.”</t>
  </si>
  <si>
    <t>“Hoje não tem uma padronização Central assim... cada um faz da forma que acha melhor, mais conveniente.”</t>
  </si>
  <si>
    <t>Ricardo Alexandre Pereira Benicio</t>
  </si>
  <si>
    <t>"Aqui a gente tem muita distância disso... você tem que olhar que aquele custo CAPEX maior agora pode ser um OPEX menor durante 25 anos."</t>
  </si>
  <si>
    <t>Relato de compra de "luz de táxi" inadequada por desconhecimento do item.</t>
  </si>
  <si>
    <t>"O nosso turnover está acima de 20%... a informação que está nele não está no processo, não está na engenharia de dados..."</t>
  </si>
  <si>
    <t>"Você não pode tratar projeto pequeno igual a projeto grande e a Motiva tratava..."</t>
  </si>
  <si>
    <t>"As unidades têm dificuldade de reconhecer estruturas matriciais, porque ela quer olhar o seu quadrado..."</t>
  </si>
  <si>
    <t>Gestores podem optar por empresas fora da lista de homologados, sem impedimento formal.</t>
  </si>
  <si>
    <t>Ausência de interface formal entre implantação e operação/manutenção para definição de requisitos.</t>
  </si>
  <si>
    <t>Falta de estrutura dedicada para elaboração e revisão contínua de manuais/processos.</t>
  </si>
  <si>
    <t>Penalizações por não conformidade são pouco claras e raramente aplicadas.</t>
  </si>
  <si>
    <t>Uso de planilhas e Word para controle de não conformidades e indicadores.</t>
  </si>
  <si>
    <t>“Atrasos de pagamento para fornecedores pequenos geram atrasos de obra. Ele acaba tirando o pé do acelerador.”</t>
  </si>
  <si>
    <t>“Eu sou obrigada a pulverizar o escopo, fazer mini contratações com um monte de empresinha pequena.”</t>
  </si>
  <si>
    <t>“Acho que hoje não está regrado na Motiva, pelo menos eu nunca vi.”</t>
  </si>
  <si>
    <t>“Quando o processo é muito manual, tem divergências de base... ainda coisas sendo controladas em Excel.”</t>
  </si>
  <si>
    <t>“Ou se a gente contratar a empresa pequena, a gente tende a ou quebrar ela ou ela desistir do projeto da obra.”</t>
  </si>
  <si>
    <t>“No fundo, vai ser um jeitinho... não são eficientes para a companhia.”</t>
  </si>
  <si>
    <t>“Acredito que muita coisa tivesse dentro da própria equipe que cuida do gerenciamento do capex, ficaria muito mais fluído, os problemas se resolveriam muito mais rápido.”</t>
  </si>
  <si>
    <t>“A prioridade do negócio da concessionária é operar e manter. Aqui as nossas linhas de metrô. Mas do nosso ponto de vista da gestão de Capex, a nossa prioridade é executar no prazo, qualidade e custo.”</t>
  </si>
  <si>
    <t>“A governança está ok, as alçadas existem. Quanto maior o valor, mais é o nível de aprovação. Isso tá ok? Eu só tô colocando do ponto de vista de quem executa o processo. Não deveria ser a concessionária.”</t>
  </si>
  <si>
    <t>“Contingência era vou chutar aqui 10 por 5% do valor do contrato, 10%. Antigamente era assim.”</t>
  </si>
  <si>
    <t>“Acho que o passo importante que a gente deu foi amadurecer como fazer esse contingenciamento... O segundo passo foi conseguir formalizar essa contingência em orçamento, pelo menos para alguns projetos relevantes.”</t>
  </si>
  <si>
    <t>“Hoje tá muito pulverizado. Excel, PPT, Priscila, e a gente não consegue ter uma visão integrada de nada.”</t>
  </si>
  <si>
    <t>“Aquele dinheiro é carimbado para aquele risco, que é o que eu falo com a diretoria de Capex.”</t>
  </si>
  <si>
    <t>“A gente precisa de uma Governança integrada, onde eu consiga ver tudo.”</t>
  </si>
  <si>
    <t>“A gente tem a contingência para não usar ela.”</t>
  </si>
  <si>
    <t>“A gente precisa desenvolver isso na Motiva inteira, tá? A gente tá começando aqui com o nosso pedaço, mas para cima também.”</t>
  </si>
  <si>
    <t>“telefone sem fio”</t>
  </si>
  <si>
    <t>“O prazo do corporativo às vezes está apertado... pode haver diferenças em valores que... vai dar divergência.”</t>
  </si>
  <si>
    <t>“Estamos sem 4 pessoas... eu também ponho a mão na massa... não vou deixar o pratinho cair.”</t>
  </si>
  <si>
    <t>“Toda decisão, ela parte do executivo e diretoria... não existe aprovação de ninguém para utilização de contingência.”</t>
  </si>
  <si>
    <t>“Você elimina o famoso telefone sem fio... a interpretação da outra pessoa pode ser uma caneta da cor azul com a pontinha vermelha.”</t>
  </si>
  <si>
    <t>“Aí vem a experiência... não tem uma receita de bolo... até a atividade mãe tem, está nos manuais.”</t>
  </si>
  <si>
    <t>“O pratinho, ele vai ficar meio bamba, mas ele não vai cair. A gente vai tocar.”</t>
  </si>
  <si>
    <t>“A comunicação ela é muito rápida... não estão próximos fisicamente, mas... toda hora a equipe, ela está se comunicando.”</t>
  </si>
  <si>
    <t>“A decisão, ela parte do executivo e diretoria... fora isso, não existe aprovação de ninguém para utilização de contingência.”</t>
  </si>
  <si>
    <t>“O avanço, ele não é por data, por duração. O avanço aqui nós damos por nível de esforço de atividade.”</t>
  </si>
  <si>
    <t>“Não tem uma receita de bolo... até a atividade mãe tem, está nos manuais... o detalhamento depende de experiência.”</t>
  </si>
  <si>
    <t>Problema</t>
  </si>
  <si>
    <t>Ausência de padronização no nível de maturidade da Engenharia para contratações de fornecedores</t>
  </si>
  <si>
    <t>Aumento de Custos</t>
  </si>
  <si>
    <t>Retrabalho Suprimentos</t>
  </si>
  <si>
    <t>Retrabalho Engenharia</t>
  </si>
  <si>
    <t>Impacto de Prazo</t>
  </si>
  <si>
    <t>Falta de visibilidade no planejamento de projetos</t>
  </si>
  <si>
    <t>Impacto de Custo</t>
  </si>
  <si>
    <t>Ausência de Relacionamentos</t>
  </si>
  <si>
    <t>Confiabilidade das informações recebidas</t>
  </si>
  <si>
    <t>Falta de Confiabilidade</t>
  </si>
  <si>
    <t>Falta de clareza de papéis e responsabilidades do núcleo de CapEx</t>
  </si>
  <si>
    <t>Ineficiência por ausência de responsabilidade</t>
  </si>
  <si>
    <t>Elevada quantidade de iniciativas de transformação</t>
  </si>
  <si>
    <t>Sobrecarga de recursos</t>
  </si>
  <si>
    <t>Suprimentos e financeiro são áreas de apoio, mas não vivem o dia a dia do negócio, o que gera desalinhamento de prioridades e senso de urgência.</t>
  </si>
  <si>
    <t>Interfaces fracas entre áreas e suportes</t>
  </si>
  <si>
    <t>Produtividade e retrabalho</t>
  </si>
  <si>
    <t>Previsibilidade de prazo e marcos</t>
  </si>
  <si>
    <t>Suprimentos atende sob demanda, sem atuação preventiva ou imersão no negócio.</t>
  </si>
  <si>
    <t>Atuação reativa de áreas de apoio</t>
  </si>
  <si>
    <t>Consolidação de dados de CAPEX depende de múltiplos sistemas e reconciliações manuais.</t>
  </si>
  <si>
    <t>Sistemas fragmentados e consolidação manual</t>
  </si>
  <si>
    <t>Dados, transparência e rastreabilidade</t>
  </si>
  <si>
    <t>Integração centralizada busca garantir uniformidade, mas há risco de cada vertical operar de forma distinta.</t>
  </si>
  <si>
    <t>Baixa padronização entre unidades/verticais</t>
  </si>
  <si>
    <t>Relato de conflitos e retrabalho sob modelo matricial anterior, com áreas especializadas atuando de forma pouco integrada.</t>
  </si>
  <si>
    <t>Integração matricial inefetiva entre áreas</t>
  </si>
  <si>
    <t>Tentativa recente de estruturar processos preventivos, mas ainda com lacunas de integração entre áreas (ex: operação/manutenção).</t>
  </si>
  <si>
    <t>Integração CAPEX-OPEX e requisitos operacionais frágil</t>
  </si>
  <si>
    <t>Qualidade técnica, construtibilidade e mudanças tardias</t>
  </si>
  <si>
    <t>Previsibilidade de custo e acurácia de estimativas</t>
  </si>
  <si>
    <t>Interação com operação e manutenção depende do “feeling” de quem conduz o projeto.</t>
  </si>
  <si>
    <t>Mudança para estrutura verticalizada visando autonomia e foco no resultado do empreendimento.</t>
  </si>
  <si>
    <t>Problema estrutural</t>
  </si>
  <si>
    <t>Descrição do Problema Estrutural</t>
  </si>
  <si>
    <t>Nº Relatórios</t>
  </si>
  <si>
    <t>Menção Literal (com autor)</t>
  </si>
  <si>
    <t>Relatórios</t>
  </si>
  <si>
    <t>Múltiplos sistemas não integrados exigem consolidação manual recorrente para reporte e decisão.</t>
  </si>
  <si>
    <t>Dados; Produtividade</t>
  </si>
  <si>
    <t>“Múltiplos sistemas não conversam, exigindo tratamento manual.” – Adriana Martins dos Santos “Dependência de repasse de dados para consolidação.” – Rebeka Yang Wang</t>
  </si>
  <si>
    <t>ANDRE LUIS TEIXEIRA OLIVEIRA FREITAS; Adriana Martins dos Santos; Elmo Serejo Pithon Copello; Guilherme Tellis; Rebeka Yang Wang; Rodrigo Mitsuo Kise; Vanilza de Souza Pandolfo; WILLIAM NASCIMENTO MARINS</t>
  </si>
  <si>
    <t>Controle integrado de prazos insuficiente</t>
  </si>
  <si>
    <t>Planejamento não estruturado por restrições e baixa integração entre cronograma, execução e controle.</t>
  </si>
  <si>
    <t>Prazo; Dados</t>
  </si>
  <si>
    <t>“Problemas só são revelados na execução.” – Michel Simoes Araujo “Cumprimento de prazos não é previsível.” – Guilherme Tellis</t>
  </si>
  <si>
    <t>Guilherme Tellis; Jean Carlos Bonin da Silva; Michel Simoes Araujo; Rodrigo Mitsuo Kise; WILLIAM NASCIMENTO MARINS</t>
  </si>
  <si>
    <t>Decisões de investimento não incorporam formalmente critérios operacionais e impacto futuro de OPEX.</t>
  </si>
  <si>
    <t>Custo; Produtividade; Qualidade Técnica</t>
  </si>
  <si>
    <t>“Trade-off entre CAPEX e OPEX não é estruturado.” – Ricardo Alexandre Pereira Benicio “Operação participa sem critérios formais.” – Elmo Serejo Pithon Copello</t>
  </si>
  <si>
    <t>ANDRE LUIS TEIXEIRA OLIVEIRA FREITAS; Elmo Serejo Pithon Copello; Ricardo Alexandre Pereira Benicio; Rodrigo Correa de Souza</t>
  </si>
  <si>
    <t>Falta alinhamento estruturado entre áreas técnicas, operacionais e corporativas, gerando conflito e retrabalho.</t>
  </si>
  <si>
    <t>Produtividade; Prazo</t>
  </si>
  <si>
    <t>“Conflitos entre diretores impactam projetos.” – Guilherme Tellis “Falhas de comunicação entre áreas.” – Rodrigo Correa de Souza</t>
  </si>
  <si>
    <t>Adriana Martins dos Santos; Guilherme Tellis; Rebeka Yang Wang; Rodrigo Correa de Souza</t>
  </si>
  <si>
    <t>Papéis e responsabilidades não definidos</t>
  </si>
  <si>
    <t>Ausência de delimitação clara de responsabilidades ponta-a-ponta e accountability transversal.</t>
  </si>
  <si>
    <t>Produtividade; Riscos; Dados</t>
  </si>
  <si>
    <t>“Escopo se mistura.” – Adriana Martins dos Santos “Sem consolidação ou visão integrada.” – Rebeka Yang Wang</t>
  </si>
  <si>
    <t>Adriana Martins dos Santos; Rebeka Yang Wang; Rodrigo Correa de Souza</t>
  </si>
  <si>
    <t>Governança de riscos e contingências insuficiente</t>
  </si>
  <si>
    <t>Gestão de riscos não plenamente integrada ao planejamento, orçamento e decisões executivas.</t>
  </si>
  <si>
    <t>Riscos; Custo; Prazo</t>
  </si>
  <si>
    <t>“Cultura de riscos concentrada na área central.” – Rodrigo Mitsuo Kise “Dependem de validação central.” – WILLIAM NASCIMENTO MARINS</t>
  </si>
  <si>
    <t>Guilherme Tellis; Rodrigo Mitsuo Kise; WILLIAM NASCIMENTO MARINS</t>
  </si>
  <si>
    <t>Demanda chega imatura, compras reativas</t>
  </si>
  <si>
    <t>Projetos chegam à área de compras com baixa maturidade técnica, exigindo atuação emergencial.</t>
  </si>
  <si>
    <t>Prazo; Contratual; Produtividade</t>
  </si>
  <si>
    <t>“Apagar incêndios.” – Jean Carlos Bonin da Silva “Pouco tempo para negociação.” – Elmo Serejo Pithon Copello</t>
  </si>
  <si>
    <t>Elmo Serejo Pithon Copello; Jean Carlos Bonin da Silva</t>
  </si>
  <si>
    <t>Governança de decisão e priorização insuficiente</t>
  </si>
  <si>
    <t>Processo de priorização de investimentos não institucionalizado com critérios técnicos estruturados.</t>
  </si>
  <si>
    <t>Portfólio; Prazo; Custo</t>
  </si>
  <si>
    <t>“Cada área defende seu próprio interesse.” – Rodrigo Correa de Souza “Sem filtro técnico.” – Adriana Martins dos Santos</t>
  </si>
  <si>
    <t>Adriana Martins dos Santos; Rodrigo Correa de Souza</t>
  </si>
  <si>
    <t>Sistemas"Fragmentados"</t>
  </si>
  <si>
    <t>Controle"Prazos"Insuficientes</t>
  </si>
  <si>
    <t>Integração"CapexOpex"</t>
  </si>
  <si>
    <t>Interfaces/Áreas</t>
  </si>
  <si>
    <t>Governança"Riscos"</t>
  </si>
  <si>
    <t>Papeis&amp;Responsabilidades</t>
  </si>
  <si>
    <t>Trade-off CAPEX/OPEX sem governança</t>
  </si>
  <si>
    <t>Governça;Capex/Opex</t>
  </si>
  <si>
    <t>Despadronização</t>
  </si>
  <si>
    <t>Sequenciamento físico subordinado ao econômico-financeiro</t>
  </si>
  <si>
    <t>Rastreabilidade insuficiente de informações</t>
  </si>
  <si>
    <t>Rastreabilidade</t>
  </si>
  <si>
    <t>tema</t>
  </si>
  <si>
    <t>área_A</t>
  </si>
  <si>
    <t>área_B</t>
  </si>
  <si>
    <t>conflito</t>
  </si>
  <si>
    <t>evidência</t>
  </si>
  <si>
    <t>tipo de tensão</t>
  </si>
  <si>
    <t>Evidência literal</t>
  </si>
  <si>
    <t>Engenharia e Implantação</t>
  </si>
  <si>
    <t>Não informado</t>
  </si>
  <si>
    <t>ANDRE LUIS TEIXEIRA OLIVEIRA FREITAS</t>
  </si>
  <si>
    <t>ANDRE LUIS TEIXEIXEIRA OLIVEIRA FREITAS</t>
  </si>
  <si>
    <t>Estrutura anterior centrada em especialistas, sem generalistas ou donos de projeto.</t>
  </si>
  <si>
    <t>Ausência de dono de projeto ponta-a-ponta</t>
  </si>
  <si>
    <t>Projetos migravam entre especialistas, sem consolidação ou visão integrada.</t>
  </si>
  <si>
    <t>Planejamento físico deveria ser o motor do processo, mas na prática o financeiro define limites e sequenciamento.</t>
  </si>
  <si>
    <t>Decisão e priorização de portfólio</t>
  </si>
  <si>
    <t>O entrevistado relata inversão do fluxo: “Aqui a gente tem uma inversão, acho que até em função da questão econômica... nasce o econômico-financeiro do projeto e aí a gente faz o detalhamento do projeto, da execução física disso.”</t>
  </si>
  <si>
    <t>Contratos não estruturados para controle de entregas e SLAs.</t>
  </si>
  <si>
    <t>Contratos sem mecanismos de performance</t>
  </si>
  <si>
    <t>Exposição contratual, pleitos e disputas</t>
  </si>
  <si>
    <t>Gestão de riscos e contingências</t>
  </si>
  <si>
    <t>Perda de histórico, revisões não implementadas, execução de versões desatualizadas.</t>
  </si>
  <si>
    <t>Gestão de documentos e versões frágil</t>
  </si>
  <si>
    <t>Consolidação de dados depende de Excel e intervenções manuais, mesmo com sistemas como OPPM e OBC.</t>
  </si>
  <si>
    <t>Nº entrevistas</t>
  </si>
  <si>
    <t>Matriz Problema Estrutural × Impacto</t>
  </si>
  <si>
    <t>Matriz — Categoria de Problema × Impacto</t>
  </si>
  <si>
    <t>Categoria de Problema</t>
  </si>
  <si>
    <t>Planejamento e baseline</t>
  </si>
  <si>
    <t>Integração e coordenação</t>
  </si>
  <si>
    <t>Gestão contratual</t>
  </si>
  <si>
    <t>Dados e rastreabilidade</t>
  </si>
  <si>
    <t>Engenharia de valor</t>
  </si>
  <si>
    <t>Matriz — Problema Estrutural × Impacto (Nº de entrevistas)</t>
  </si>
  <si>
    <t>Matriz de Diagnóstico — Disciplina × Impacto CAPEX</t>
  </si>
  <si>
    <t>Planejamento Integrado</t>
  </si>
  <si>
    <t>Suprimentos e Cadeia de Fornecimento</t>
  </si>
  <si>
    <t>Tecnologia e Dados</t>
  </si>
  <si>
    <t>Qtd</t>
  </si>
  <si>
    <t># Área</t>
  </si>
  <si>
    <t>E-mail</t>
  </si>
  <si>
    <t>VP</t>
  </si>
  <si>
    <t>Projetos/Temas</t>
  </si>
  <si>
    <t>Necessidade</t>
  </si>
  <si>
    <t>Prioridade de entrevista</t>
  </si>
  <si>
    <t>Entrevistado Dia</t>
  </si>
  <si>
    <t>Reagendamentos</t>
  </si>
  <si>
    <t>Duração</t>
  </si>
  <si>
    <t>Total</t>
  </si>
  <si>
    <t>%</t>
  </si>
  <si>
    <t>N2</t>
  </si>
  <si>
    <t>Waldo Edwin Perez Leskovar</t>
  </si>
  <si>
    <t>waldo.perez@motiva.com.br</t>
  </si>
  <si>
    <t>Financeiro e Relação de Investidores</t>
  </si>
  <si>
    <t>Diretor Vice Presidente Financeiro e Relações Investidores</t>
  </si>
  <si>
    <t>VP Financeiro e Relações Investidores</t>
  </si>
  <si>
    <t>Fundamentais para iniciar</t>
  </si>
  <si>
    <t xml:space="preserve">N3 </t>
  </si>
  <si>
    <t>Flavio Roberto Dornelas Camara Pimentel</t>
  </si>
  <si>
    <t xml:space="preserve">flavio.pimentel@motiva.com.br </t>
  </si>
  <si>
    <t>Núcleo de Capex</t>
  </si>
  <si>
    <t>Diretor do Nucleo de Capex</t>
  </si>
  <si>
    <t>Importante para aprofundamento</t>
  </si>
  <si>
    <t>N5</t>
  </si>
  <si>
    <t>Alexandre David Magno</t>
  </si>
  <si>
    <t xml:space="preserve">alexandre.magno@motiva.com.br </t>
  </si>
  <si>
    <t>Consultor Riscos Operacionais Capex</t>
  </si>
  <si>
    <t>Sob Demanda</t>
  </si>
  <si>
    <t>Fabiana Abrita Argentin</t>
  </si>
  <si>
    <t xml:space="preserve">fabiana.abrita@motiva.com.br </t>
  </si>
  <si>
    <t xml:space="preserve">Consultora Perfomance Negocio </t>
  </si>
  <si>
    <t>N7</t>
  </si>
  <si>
    <t>Leticia Cardoso</t>
  </si>
  <si>
    <t xml:space="preserve">leticia.cardoso@motiva.com.br </t>
  </si>
  <si>
    <t>Analista Capex Jr</t>
  </si>
  <si>
    <t>N3</t>
  </si>
  <si>
    <t>Marcelo Cordeiro Ferraz</t>
  </si>
  <si>
    <t>marcelo.ferraz@motiva.com.br</t>
  </si>
  <si>
    <t>Supply Chain</t>
  </si>
  <si>
    <t>Diretor de Supply Chain</t>
  </si>
  <si>
    <t>juliana.salomao@motiva.com.br</t>
  </si>
  <si>
    <t>Sustentação</t>
  </si>
  <si>
    <t>Gerente Gestão Fornecedores e Sustentação</t>
  </si>
  <si>
    <t>N6</t>
  </si>
  <si>
    <t>Juliana Ming Martini Naressi</t>
  </si>
  <si>
    <t>juliana.ming@motiva.com.br</t>
  </si>
  <si>
    <t>Gestão Compras Sustentáveis</t>
  </si>
  <si>
    <t>Coordenador Compras Sustentáveis</t>
  </si>
  <si>
    <t>Jorge Rangel Maia</t>
  </si>
  <si>
    <t>jorge.maia@motiva.com.br</t>
  </si>
  <si>
    <t>Suprimentos Gestores Executivos</t>
  </si>
  <si>
    <t>Gerente Executivo Suprimentos Mobilidade e Aero</t>
  </si>
  <si>
    <t>luiz.franchim@motiva.com.br</t>
  </si>
  <si>
    <t>Gerente Executivo Suprimentos Rodovias</t>
  </si>
  <si>
    <t>Ramon Marcelo Araujo dos Santos</t>
  </si>
  <si>
    <t>ramon.araujo@motiva.com.br</t>
  </si>
  <si>
    <t>Compras Rodovias I</t>
  </si>
  <si>
    <t>Gerente Suprimentos Rodovias</t>
  </si>
  <si>
    <t>Flavia Godoy de Carvalho E Silva</t>
  </si>
  <si>
    <t>flavia.godoy@motiva.com.br</t>
  </si>
  <si>
    <t>Relações Investidores</t>
  </si>
  <si>
    <t>Diretora de Relação Investidores</t>
  </si>
  <si>
    <t>Douglas Pereira de Oliveira Ribeiro</t>
  </si>
  <si>
    <t>douglas.ribeiro@motiva.com.br</t>
  </si>
  <si>
    <t>Consultor Relações Investidores</t>
  </si>
  <si>
    <t>Caue Esteves Cunha</t>
  </si>
  <si>
    <t>caue.cunha@motiva.com.br</t>
  </si>
  <si>
    <t>Especialista Relações Investidores</t>
  </si>
  <si>
    <t>Carl Douglas</t>
  </si>
  <si>
    <t>carl.douglas@motiva.com.br</t>
  </si>
  <si>
    <t>Contabilidade Estratégica</t>
  </si>
  <si>
    <t>Diretor de Contabilidade Estratégica</t>
  </si>
  <si>
    <t>Felipe Harari Valente</t>
  </si>
  <si>
    <t>felipe.valente@motiva.com.br</t>
  </si>
  <si>
    <t>Tesouraria e Financeiro</t>
  </si>
  <si>
    <t>Diretor de Tesouraria e Financeiro</t>
  </si>
  <si>
    <t>danieli.ribeiro@motiva.com.br</t>
  </si>
  <si>
    <t>Assessoria</t>
  </si>
  <si>
    <t>Assessora Projetos Corporativos</t>
  </si>
  <si>
    <t>Pedro Paulo Archer Sutter</t>
  </si>
  <si>
    <t>pedro.sutter@motiva.com.br</t>
  </si>
  <si>
    <t>Sustentabilidade, Riscos e Compliace</t>
  </si>
  <si>
    <t>Diretor Vice Presidente Inovação, Tecnologia e Riscos</t>
  </si>
  <si>
    <t>VP Inovação, Tecnologia e Riscos</t>
  </si>
  <si>
    <t>Francine Nunes Saueia Keterer</t>
  </si>
  <si>
    <t>francine.saueia@motiva.com.br</t>
  </si>
  <si>
    <t>Estratégia e Inovação</t>
  </si>
  <si>
    <t>Diretora Estratégia e Inovação</t>
  </si>
  <si>
    <t>Murilo Massaretto</t>
  </si>
  <si>
    <t>murilo.massaretto@motiva.com.br</t>
  </si>
  <si>
    <t>Estrategia e Inovação</t>
  </si>
  <si>
    <t>Consultor Inovação</t>
  </si>
  <si>
    <t>Emilia Guerra Dias</t>
  </si>
  <si>
    <t>emilia.dias@motiva.com.br</t>
  </si>
  <si>
    <t>Consultora Estratégia e Inovação</t>
  </si>
  <si>
    <t>Tecnologia e Digital</t>
  </si>
  <si>
    <t>Diretora de Tecnologia e Digital/CTO</t>
  </si>
  <si>
    <t>N4</t>
  </si>
  <si>
    <t>Fabio Portela Rodrigues</t>
  </si>
  <si>
    <t>fabio.portela@motiva.com.br</t>
  </si>
  <si>
    <t>Soluções Mobilidade</t>
  </si>
  <si>
    <t>Gerente Executivo Soluções de Mobilidade</t>
  </si>
  <si>
    <t>Heloisa Helena de Oliveira Tormin Chaer</t>
  </si>
  <si>
    <t>heloisa.chaer@motiva.com.br</t>
  </si>
  <si>
    <t>Planejamento e Governança</t>
  </si>
  <si>
    <t>Gerente Executiva Planejamento e Governança</t>
  </si>
  <si>
    <t>Cesar Sampaio de Castro</t>
  </si>
  <si>
    <t>cesar.sampaio@motiva.com.br</t>
  </si>
  <si>
    <t>Gestão Portfólio e Valor</t>
  </si>
  <si>
    <t>Gerente Gestão Portfólio e Valor</t>
  </si>
  <si>
    <t>Romulo Nagumo</t>
  </si>
  <si>
    <t>Thiago Siqueira de Lima</t>
  </si>
  <si>
    <t>thiago.siqueira@motiva.com.br</t>
  </si>
  <si>
    <t>Arquitetura</t>
  </si>
  <si>
    <t>Arquiteto Corporativo</t>
  </si>
  <si>
    <t>Ronan Pedroso Nogueira Gaeti</t>
  </si>
  <si>
    <t>ronan.gaeti@motiva.com.br</t>
  </si>
  <si>
    <t>Soluções Compartilhadas</t>
  </si>
  <si>
    <t>Diretor de Soluções Compartilhadas</t>
  </si>
  <si>
    <t>Jaime Marlon Silva</t>
  </si>
  <si>
    <t>jaime.silva@motiva.com.br</t>
  </si>
  <si>
    <t>Gerente Executivo Soluções Engenharia e Logística</t>
  </si>
  <si>
    <t>Camila Gil Henriques Marinheiro</t>
  </si>
  <si>
    <t>camila.marinheiro@motiva.com.br</t>
  </si>
  <si>
    <t xml:space="preserve">Coordenadora Soluções Engenharia </t>
  </si>
  <si>
    <t>Priscila Aparecida Rodrigues Martins</t>
  </si>
  <si>
    <t>priscila.martins@motiva.com.br</t>
  </si>
  <si>
    <t>Riscos e Controle</t>
  </si>
  <si>
    <t>Diretora Riscos e Controles Internos</t>
  </si>
  <si>
    <t>sabrina.pedroso@motiva.com.br</t>
  </si>
  <si>
    <t>Riscos Corporativos</t>
  </si>
  <si>
    <t>Gerente Riscos e Controles</t>
  </si>
  <si>
    <t>Thiago Chacon Codesseira</t>
  </si>
  <si>
    <t>Gerente Precificação Riscos</t>
  </si>
  <si>
    <t>Rodrigo Araujo Alves</t>
  </si>
  <si>
    <t xml:space="preserve">rodrigoaraujo.alves@motiva.com.br </t>
  </si>
  <si>
    <t>Finanças e Relações Investidores</t>
  </si>
  <si>
    <t>Diretor Vice Presidente Finanças e Relações Investidores</t>
  </si>
  <si>
    <t>VP Finanças e Relações Investidores</t>
  </si>
  <si>
    <t>Jose Garibalde Prata Freitas Filho</t>
  </si>
  <si>
    <t>jose.garibalde@motiva.com.br</t>
  </si>
  <si>
    <t>CSC</t>
  </si>
  <si>
    <t>Diretor CSC</t>
  </si>
  <si>
    <t>Lucas Tadeu Souza de Araujo</t>
  </si>
  <si>
    <t>lucas.tadeu@motiva.com.br</t>
  </si>
  <si>
    <t>Gestão de Frotas</t>
  </si>
  <si>
    <t>Gerente de Frota</t>
  </si>
  <si>
    <t>Luciana Irene de Lima e Silva</t>
  </si>
  <si>
    <t>luciana.irene@motiva.com.br</t>
  </si>
  <si>
    <t>Planejamento e Controle</t>
  </si>
  <si>
    <t>Gerente Executiva Planejamento Corporativo</t>
  </si>
  <si>
    <t>Ricardo da Costa</t>
  </si>
  <si>
    <t>ricardo.costa@motiva.com.br</t>
  </si>
  <si>
    <t>Gestão Financeira e Seguros</t>
  </si>
  <si>
    <t>Gerente Executivo Financeiro e Seguros</t>
  </si>
  <si>
    <t>Patricia Muller Ramos Kusdra</t>
  </si>
  <si>
    <t>patricia.kusdra@motiva.com.br</t>
  </si>
  <si>
    <t>Coordenadora Recebimento Integrado e Contas a pagar</t>
  </si>
  <si>
    <t>Maria Leticia Palmieri Jaco</t>
  </si>
  <si>
    <t>maria.jaco@motiva.com.br</t>
  </si>
  <si>
    <t>Req to Pay</t>
  </si>
  <si>
    <t>Supervisora recebimento fiscal</t>
  </si>
  <si>
    <t>Michele Janaina Dick Romano</t>
  </si>
  <si>
    <t>michele.romano@motiva.com.br</t>
  </si>
  <si>
    <t>Jurídico Contencioso Estratégico</t>
  </si>
  <si>
    <t>Gerente Executiva Jurídico</t>
  </si>
  <si>
    <t>Thais Aparecida de Faria</t>
  </si>
  <si>
    <t>thais.faria@motiva.com.br</t>
  </si>
  <si>
    <t>Facilities</t>
  </si>
  <si>
    <t>Gerente de Facilities</t>
  </si>
  <si>
    <t>Carolina Cerdeira</t>
  </si>
  <si>
    <t>carolina.goes@motiva.com.br</t>
  </si>
  <si>
    <t>Facilities, Viagens e Reembolsos</t>
  </si>
  <si>
    <t>Coordenadora Facilities, Viagens e Reembolsos</t>
  </si>
  <si>
    <t>Giancarlo Ferreira</t>
  </si>
  <si>
    <t>giancarlo.ferreira@motiva.com.br</t>
  </si>
  <si>
    <t>Gestão Serviços e Atendimento</t>
  </si>
  <si>
    <t>Gerente Custos e Orçamento</t>
  </si>
  <si>
    <t>Roberto Penna Chaves Neto</t>
  </si>
  <si>
    <t>roberto.penna@motiva.com.br</t>
  </si>
  <si>
    <t>Jurídico, Governança e Relações Governamentais</t>
  </si>
  <si>
    <t>Diretor Vice Presidente Jurídico, Governança e Relações Governamentais</t>
  </si>
  <si>
    <t>VP Jurídico, Governança e Relações Governamentais</t>
  </si>
  <si>
    <t>Marilia Zulini da Costa Loosli</t>
  </si>
  <si>
    <t>marilia.zulini@motiva.com.br</t>
  </si>
  <si>
    <t>Diretora de Compliance</t>
  </si>
  <si>
    <t>Daniela Cristina dos Santos Moreno</t>
  </si>
  <si>
    <t>daniela.moreno@motiva.com.br</t>
  </si>
  <si>
    <t>Diretora de Auditoria Interna</t>
  </si>
  <si>
    <t>Raquel Cardoso da Silva</t>
  </si>
  <si>
    <t xml:space="preserve">raquel.cardoso@motiva.com.br </t>
  </si>
  <si>
    <t>Pessoas e Desenvolvimento Organizacional</t>
  </si>
  <si>
    <t>Diretora Vice Presidente Pessoas, Desenvolvimento Organizacional</t>
  </si>
  <si>
    <t>VP Pessoas, Desenvolvimento Organizacional</t>
  </si>
  <si>
    <t>Maria Annita Moretti de Ornellas</t>
  </si>
  <si>
    <t>maria.ornellas@motiva.com.br</t>
  </si>
  <si>
    <t>Parceiros de Negócios</t>
  </si>
  <si>
    <t>Gerente Executiva Pessoas</t>
  </si>
  <si>
    <t>Rafael Antonio Bortolotti</t>
  </si>
  <si>
    <t>rafael.bortolotti@motiva.com.br</t>
  </si>
  <si>
    <t xml:space="preserve"> Desenvolvimento Organizacional</t>
  </si>
  <si>
    <t>Gerente Executivo Desenvolvimento Organizacional</t>
  </si>
  <si>
    <t>Priscila Rodrigues Pereira</t>
  </si>
  <si>
    <t>priscila.pereira@motiva.com.br</t>
  </si>
  <si>
    <t>Gerente Workface Planning e Design Organizacional</t>
  </si>
  <si>
    <t>Rodolfo da Silva Teixeira</t>
  </si>
  <si>
    <t>rodolfo.teixeira@motiva.com.br</t>
  </si>
  <si>
    <t>Gerente Planejamento Orçamentário, Pessoas e Metas</t>
  </si>
  <si>
    <t>Vinicius Mota Matteoni</t>
  </si>
  <si>
    <t>vinicius.matteoni@motiva.com.br</t>
  </si>
  <si>
    <t>Consultor Gestão da Mudança</t>
  </si>
  <si>
    <t>Carine Menezes de Andrade</t>
  </si>
  <si>
    <t>carine.andrade@motiva.com.br</t>
  </si>
  <si>
    <t>Especialista Planejamento Força de Trabalho</t>
  </si>
  <si>
    <t>Andre Gustavo Salcedo Teixeira Mendes</t>
  </si>
  <si>
    <t>andre.salcedo@motiva.com.br</t>
  </si>
  <si>
    <t>Diretor Vice Presidente Negócios - Trilhos</t>
  </si>
  <si>
    <t>VP Trilhos</t>
  </si>
  <si>
    <t>adriana.santos@motiva.com.br</t>
  </si>
  <si>
    <t>Engenharia e Implantações - Trilhos</t>
  </si>
  <si>
    <t>Diretora Engenharia e Implantação</t>
  </si>
  <si>
    <t>rodrigo.csouza@motiva.com.br</t>
  </si>
  <si>
    <t>Motiva Divisão Mobilidade</t>
  </si>
  <si>
    <t>Consultor Engenharia</t>
  </si>
  <si>
    <t>Bruno Teixeira Cavalcante de Magalhaes</t>
  </si>
  <si>
    <t>bruno.magalhaes@motiva.com.br</t>
  </si>
  <si>
    <t>Motiva Divisão Mobilidade - Engemob</t>
  </si>
  <si>
    <t>Gerente Executivo Sinalização e Material Rodante</t>
  </si>
  <si>
    <t>Gustavo Henrique Lucas Jaquie</t>
  </si>
  <si>
    <t>gustavo.jaquie@motiva.com.br</t>
  </si>
  <si>
    <t>Engenharia de Projetos</t>
  </si>
  <si>
    <t>Gerente Executivo Engenharia Projetos e Centro Expertise</t>
  </si>
  <si>
    <t>Marcela Alice Ventura Pinto</t>
  </si>
  <si>
    <t>marcela.ventura@motiva.com.br</t>
  </si>
  <si>
    <t>Motiva Divisão Mobilidade - PMO</t>
  </si>
  <si>
    <t>Coordenadora PMO</t>
  </si>
  <si>
    <t>Camila Mendonca Rabassa Chanquini</t>
  </si>
  <si>
    <t>camila.rabassa@motiva.com.br</t>
  </si>
  <si>
    <t>Gerente Engenharia e Projetos Civil e Qualidade</t>
  </si>
  <si>
    <t>Licença a Maternidade</t>
  </si>
  <si>
    <t>rodrigo.kise@motiva.com.br</t>
  </si>
  <si>
    <t>elmo.copello@motiva.com.br</t>
  </si>
  <si>
    <t>Gerente Engenharia Empreedimentos</t>
  </si>
  <si>
    <t>emilio.povoa@motiva.com.br</t>
  </si>
  <si>
    <t>Motiva Divisão Mobilidade - Riscos</t>
  </si>
  <si>
    <t>Gerente Executivo Gerenciamento de Riscos</t>
  </si>
  <si>
    <t>vanilza.pandolfo@motiva.com.br</t>
  </si>
  <si>
    <t>Consultora Riscos Engenharia</t>
  </si>
  <si>
    <t>paulo.amaral@motiva.com.br</t>
  </si>
  <si>
    <t>Consultor Contratos Implantação</t>
  </si>
  <si>
    <t>paulo.aredes@motiva.com.br</t>
  </si>
  <si>
    <t>Consultor Contratos Implantação (L4)</t>
  </si>
  <si>
    <t>andre.teixeira@motiva.com.br</t>
  </si>
  <si>
    <t>Gerente Executivo Demais Empreedimentos e Rece</t>
  </si>
  <si>
    <t>william.marins@motiva.com.br</t>
  </si>
  <si>
    <t>Gerente de PMO</t>
  </si>
  <si>
    <t>michel.araujo@motiva.com.br</t>
  </si>
  <si>
    <t>Gerente Executivo Acompanhamento de Projetos</t>
  </si>
  <si>
    <t>rebeka.wang@motiva.com.br</t>
  </si>
  <si>
    <t>jean.bonin@motiva.com.br</t>
  </si>
  <si>
    <t>Coordenador PMO</t>
  </si>
  <si>
    <t>Marcus Vinicius Figur da Rosa</t>
  </si>
  <si>
    <t>marcus.rosa@motiva.com.br</t>
  </si>
  <si>
    <t>Financeiro, Desenvolvimento Novos Negócios e Contratos Concessões</t>
  </si>
  <si>
    <t>Diretor Financeiro, Desenvolvimento Novos Negócios e Contratos Concessões</t>
  </si>
  <si>
    <t>Gabriel Bittencourt Jacondino</t>
  </si>
  <si>
    <t>gabriel.jacondino@motiva.com.br</t>
  </si>
  <si>
    <t>Finanças e Desenvolvimento de Negócios</t>
  </si>
  <si>
    <t>Gerente Executivo Contratos Concessões Mobilidade</t>
  </si>
  <si>
    <t>Igor Camilo</t>
  </si>
  <si>
    <t>ricardo.benicio@motiva.com.br</t>
  </si>
  <si>
    <t>Diretor Engenharia de Manutenção</t>
  </si>
  <si>
    <t>Juliana Criscuolo</t>
  </si>
  <si>
    <t>João Pita</t>
  </si>
  <si>
    <t xml:space="preserve">N2 </t>
  </si>
  <si>
    <t>Eduardo Siqueira Moraes Camargo</t>
  </si>
  <si>
    <t>eduardo.camargo@motiva.com.br</t>
  </si>
  <si>
    <t>Vice Presidente Negócios Rodovias</t>
  </si>
  <si>
    <t>VP Rodovias</t>
  </si>
  <si>
    <t>Angelo Luiz Lodi</t>
  </si>
  <si>
    <t>angelo.lodi@motiva.com.br</t>
  </si>
  <si>
    <t>Engenharia e Implantação Rodovias</t>
  </si>
  <si>
    <t>Diretor de Engenharia e Implantação de Rodovias</t>
  </si>
  <si>
    <t>Jhonnathan Preisner de Souza</t>
  </si>
  <si>
    <t>jhonnathan.souza@motiva.com.br</t>
  </si>
  <si>
    <t>Pavimentos</t>
  </si>
  <si>
    <t>Gerente Pavimentos</t>
  </si>
  <si>
    <t>Marcelo Barbarulo Borgheresi</t>
  </si>
  <si>
    <t>marcelo.borgheresi@motiva.com.br</t>
  </si>
  <si>
    <t>Novos Negócios - Sede</t>
  </si>
  <si>
    <t>Gerente Executivo Desenvolvimento Negócios - Rodovias</t>
  </si>
  <si>
    <t>Alexandre Fontes Pereira</t>
  </si>
  <si>
    <t>alexandre.fontes@motiva.com.br</t>
  </si>
  <si>
    <t>PMO, Qualidade e Riscos</t>
  </si>
  <si>
    <t>Gerente Executivo PMO, Qualidade e Riscos</t>
  </si>
  <si>
    <t xml:space="preserve">N5 </t>
  </si>
  <si>
    <t>Lucas Vita Merces Souza</t>
  </si>
  <si>
    <t>lucas.vsouza@motiva.com.br</t>
  </si>
  <si>
    <t>Qualidade</t>
  </si>
  <si>
    <t>Gerente Engenharia e Qualidade</t>
  </si>
  <si>
    <t>Karina Baungartner</t>
  </si>
  <si>
    <t>karina.baungartner@motiva.com.br</t>
  </si>
  <si>
    <t>PMO - Rio SP</t>
  </si>
  <si>
    <t>Gerente PMO Rodovias</t>
  </si>
  <si>
    <t>Natalia Emy Orita Krutzsch</t>
  </si>
  <si>
    <t>natalia.krutzsch@motiva.com.br</t>
  </si>
  <si>
    <t>PMO - PR Vias</t>
  </si>
  <si>
    <t>Lucas Giraldi Rapchan Aguilar</t>
  </si>
  <si>
    <t>lucas.aguilar@motiva.com.br</t>
  </si>
  <si>
    <t>PMO Rodovias</t>
  </si>
  <si>
    <t>Ana Laura Marocolo Marigo</t>
  </si>
  <si>
    <t>ana.marigo@motiva.com.br</t>
  </si>
  <si>
    <t>PMO - Via Oeste</t>
  </si>
  <si>
    <t>Sofia Bitencourt de Andrade</t>
  </si>
  <si>
    <t>sofia.andrade@motiva.com.br</t>
  </si>
  <si>
    <t>PMO - Via Sul</t>
  </si>
  <si>
    <t>Silas Pereira Oliveira</t>
  </si>
  <si>
    <t>silas.oliveira@motiva.com.br</t>
  </si>
  <si>
    <t>PMO - MS Via</t>
  </si>
  <si>
    <t>Thais Souza Liberato Leandro</t>
  </si>
  <si>
    <t>thais.leandro@motiva.com.br</t>
  </si>
  <si>
    <t>Riscos Engenharia</t>
  </si>
  <si>
    <t>Coordenadora de Riscos Engenharia</t>
  </si>
  <si>
    <t>Anderson Aparecido Zanetti</t>
  </si>
  <si>
    <t>anderson.zanetti@motiva.com.br</t>
  </si>
  <si>
    <t>Consultor PMO</t>
  </si>
  <si>
    <t>Afranio Nogueira Magalhaes</t>
  </si>
  <si>
    <t>afranio.magalhaes@motiva.com.br</t>
  </si>
  <si>
    <t>Engenharia e Implantação - Sorocabana</t>
  </si>
  <si>
    <t>Gerente Executivo Engenharia e Obras</t>
  </si>
  <si>
    <t>Mauricio Caversan</t>
  </si>
  <si>
    <t>mauricio.caversan@motiva.com.br</t>
  </si>
  <si>
    <t>Gerente Obras</t>
  </si>
  <si>
    <t>Denysson Canesso de Oliveira</t>
  </si>
  <si>
    <t>denysson.oliveira@motiva.com.br</t>
  </si>
  <si>
    <t>Engenharia e Implantação - Rio SP</t>
  </si>
  <si>
    <t>Hamilton Cezar Gaspar Filho</t>
  </si>
  <si>
    <t>hamilton.gaspar@motiva.com.br</t>
  </si>
  <si>
    <t>Gerente Engenharia e Obras</t>
  </si>
  <si>
    <t>Virgilius Sana Duarte Morais</t>
  </si>
  <si>
    <t>virgilius.morais@motiva.com.br</t>
  </si>
  <si>
    <t>Alexandro Marcelo Zopolato Francisco</t>
  </si>
  <si>
    <t>alexandro.francisco@motiva.com.br</t>
  </si>
  <si>
    <t>Engenharia e Implantação - PR Vias</t>
  </si>
  <si>
    <t>Artur Henrique Evangelista Carvalho</t>
  </si>
  <si>
    <t>artur.carvalho@motiva.com.br</t>
  </si>
  <si>
    <t xml:space="preserve">Engenharia </t>
  </si>
  <si>
    <t xml:space="preserve">Gerente Executivo Engenharia </t>
  </si>
  <si>
    <t>Fernando Jose Lima Grandinetti</t>
  </si>
  <si>
    <t>fernando.grandinetti@motiva.com.br</t>
  </si>
  <si>
    <t>Engenharia Custos</t>
  </si>
  <si>
    <t>Gerente Engenharia Custos</t>
  </si>
  <si>
    <t>Thiago Mariano Torquetti dos Santos</t>
  </si>
  <si>
    <t>thiago.torquetti@motiva.com.br</t>
  </si>
  <si>
    <t>Integração e Interface</t>
  </si>
  <si>
    <t>Gerente Integração e Interface</t>
  </si>
  <si>
    <t>Josiane Carvalho de Almeida</t>
  </si>
  <si>
    <t>josiane.almeida@motiva.com.br</t>
  </si>
  <si>
    <t>Planejamento, Gestão Financeira e Novos Negócios</t>
  </si>
  <si>
    <t>Diretora Financeira e Desenvolvimento Negócios</t>
  </si>
  <si>
    <t>Renata Regiane Lacerda Simas</t>
  </si>
  <si>
    <t>renata.lacerda@motiva.com.br</t>
  </si>
  <si>
    <t>Juridico Rodovias</t>
  </si>
  <si>
    <t>Diretora Juridico</t>
  </si>
  <si>
    <t>Fausto Camilotti</t>
  </si>
  <si>
    <t>fausto.camilotti@motiva.com.br</t>
  </si>
  <si>
    <t>Negócio Rodovias</t>
  </si>
  <si>
    <t>Diretor de Operações - Rodovia</t>
  </si>
  <si>
    <t>Talita Gomes de Almeida</t>
  </si>
  <si>
    <t>jorge.pereira@motiva.com.br</t>
  </si>
  <si>
    <t>Manutenção e Monitoramento</t>
  </si>
  <si>
    <t>Gerente Engenharia e Manutenção</t>
  </si>
  <si>
    <t>Ana Carolina Rachadel</t>
  </si>
  <si>
    <t>ana.rachadel@motiva.com.br</t>
  </si>
  <si>
    <t>Manutenção Civil</t>
  </si>
  <si>
    <t>Coordenador Engenharia e Manutenção Civil</t>
  </si>
  <si>
    <t>Jorge Manuel Goncalves Pereira</t>
  </si>
  <si>
    <t>Operações</t>
  </si>
  <si>
    <t>Gerente Executivo Estratégia de Operações</t>
  </si>
  <si>
    <t>Deborah da Silveira Costa</t>
  </si>
  <si>
    <t>deborah.costa@motiva.com.br</t>
  </si>
  <si>
    <t>QSSMA</t>
  </si>
  <si>
    <t>Gerente Executiva SGI</t>
  </si>
  <si>
    <t>Tassiano Sobot Ornellas</t>
  </si>
  <si>
    <t>tassiano.ornellas@motiva.com.br</t>
  </si>
  <si>
    <t>Segurança do Trabalho</t>
  </si>
  <si>
    <t>Gerente Executivo Segurança do Trabalho</t>
  </si>
  <si>
    <t>Guilherme Motta Gomes</t>
  </si>
  <si>
    <t>guilherme.motta@motiva.com.br</t>
  </si>
  <si>
    <t>Gestão Integrada Concessões</t>
  </si>
  <si>
    <t>Diretor Gestão Integrada Concessões</t>
  </si>
  <si>
    <t>Keller Alves Rodrigues</t>
  </si>
  <si>
    <t>keller.junior@motiva.com.br</t>
  </si>
  <si>
    <t>Unidade de Negócio - PR Vias</t>
  </si>
  <si>
    <t>Diretor Unidade de Negócio - PR Vias</t>
  </si>
  <si>
    <t>Nelson Soares Neto</t>
  </si>
  <si>
    <t>nelson.neto@motiva.com.br</t>
  </si>
  <si>
    <t>Unidade de Negócio - MS Via</t>
  </si>
  <si>
    <t>Diretor Unidade de Negócio - MS Via</t>
  </si>
  <si>
    <t>Claudia Costa Balthazar Ponciano</t>
  </si>
  <si>
    <t>claudia.ponciano@motiva.com.br</t>
  </si>
  <si>
    <t>Coordenadora Engenharia e Manutenção Equipamentos e Sistemas</t>
  </si>
  <si>
    <t>Disciplinas DE</t>
  </si>
  <si>
    <t>Disciplinas PARA</t>
  </si>
  <si>
    <t>Gestão de Portfólio e Ciclo de Vida</t>
  </si>
  <si>
    <t>Detalhe</t>
  </si>
  <si>
    <t>Administração Contratual, Medições, Pleitos</t>
  </si>
  <si>
    <r>
      <t xml:space="preserve">Gestão Contratual e </t>
    </r>
    <r>
      <rPr>
        <b/>
        <sz val="11"/>
        <color theme="1"/>
        <rFont val="Calibri"/>
        <family val="2"/>
        <scheme val="minor"/>
      </rPr>
      <t>Riscos</t>
    </r>
  </si>
  <si>
    <r>
      <rPr>
        <b/>
        <sz val="11"/>
        <color theme="1"/>
        <rFont val="Calibri"/>
        <family val="2"/>
        <scheme val="minor"/>
      </rPr>
      <t>Gestão Contratual</t>
    </r>
    <r>
      <rPr>
        <sz val="11"/>
        <color theme="1"/>
        <rFont val="Calibri"/>
        <family val="2"/>
        <scheme val="minor"/>
      </rPr>
      <t xml:space="preserve"> e Riscos</t>
    </r>
  </si>
  <si>
    <t>FEL, Ciclo de Vida, Maturidade de Engenharia, Planejamento Físico, Econômico, Financeiro, Gestão de Riscos</t>
  </si>
  <si>
    <t>Engenharia de Valor</t>
  </si>
  <si>
    <t>Comitê de CapEx</t>
  </si>
  <si>
    <t>Gestão de Conhecimento</t>
  </si>
  <si>
    <t>Papéis, Responsabilidades e Alçadas</t>
  </si>
  <si>
    <t>Administração contratual</t>
  </si>
  <si>
    <t xml:space="preserve">Avaliação e Benchmarking </t>
  </si>
  <si>
    <t>Estrutura matricial, papéis, processos e responsabilidades</t>
  </si>
  <si>
    <t>Padronização de metodologias e gestão do conhecimento</t>
  </si>
  <si>
    <t>Governança da Administração Contratual</t>
  </si>
  <si>
    <t>Engenharia de Valor em nível corporativo e de projetos</t>
  </si>
  <si>
    <t>Governança de contingências de CAPEX</t>
  </si>
  <si>
    <t>Gestão do portfólio de investimentos</t>
  </si>
  <si>
    <t>Escritório de Projetos (corporativo e por plataforma)</t>
  </si>
  <si>
    <t>Modelo de governança e integração de sistemas e dados</t>
  </si>
  <si>
    <t>Comitê de CAPEX e Governança Decisória</t>
  </si>
  <si>
    <t>Competências, cargos e capacidade do Núcleo</t>
  </si>
  <si>
    <t>3.1</t>
  </si>
  <si>
    <t>3.2</t>
  </si>
  <si>
    <t>3.3</t>
  </si>
  <si>
    <t>3.4</t>
  </si>
  <si>
    <t>3.5</t>
  </si>
  <si>
    <t>3.6</t>
  </si>
  <si>
    <t>3.7</t>
  </si>
  <si>
    <t>3.8</t>
  </si>
  <si>
    <t>3.9</t>
  </si>
  <si>
    <t>3.10</t>
  </si>
  <si>
    <t>3.11</t>
  </si>
  <si>
    <t># TOR</t>
  </si>
  <si>
    <t>TOR</t>
  </si>
  <si>
    <t>Dimensões</t>
  </si>
  <si>
    <t>Metodologias e Engenharia de Valor</t>
  </si>
  <si>
    <t>Diagnóstico e Benchmarking</t>
  </si>
  <si>
    <t>Estrutura e Governança do CAPEX</t>
  </si>
  <si>
    <t>Gestão Contratual e Contingências</t>
  </si>
  <si>
    <t>Gestão de Portfólio e PMO</t>
  </si>
  <si>
    <t>Maturidade atual; Benchmark interno; Benchmark externo; Boas práticas e referências; Lacunas e oportunidades</t>
  </si>
  <si>
    <t>Modelo organizacional; Papéis e responsabilidades; Alçadas e decisões; Comitês e fóruns; Capacidade e competências</t>
  </si>
  <si>
    <t>Metodologia de gestão CAPEX; Padrões e templates ;Gestão do conhecimento; Engenharia de valor ;Critérios de avaliação e priorização técnica</t>
  </si>
  <si>
    <t>Governança de portfólio</t>
  </si>
  <si>
    <t>Priorização e pipeline</t>
  </si>
  <si>
    <t>Ciclo de vida e gates</t>
  </si>
  <si>
    <t>PMO corporativo e plataformas</t>
  </si>
  <si>
    <t>Monitoramento físico-financeiro</t>
  </si>
  <si>
    <t>Indicadores e reports executivos</t>
  </si>
  <si>
    <t>Administração contratual; Pleitos e aditivos; Conformidade contratual; Política de contingências; Exposição financeira e uso de contingência</t>
  </si>
  <si>
    <t>Governança de portfólio; Priorização e pipeline; Ciclo de vida e gates; PMO corporativo e plataformas; Monitoramento físico-financeiro; Indicadores e reports executivos</t>
  </si>
  <si>
    <t>Arquitetura de sistemas; Integração entre sistemas; Modelo e governança de dados; Reports e dashboards; Rastreabilidade da informação</t>
  </si>
  <si>
    <t>Maturidade atual</t>
  </si>
  <si>
    <t>Benchmark interno</t>
  </si>
  <si>
    <t>Benchmark externo</t>
  </si>
  <si>
    <t>Boas práticas e referências</t>
  </si>
  <si>
    <t>Lacunas e oportunidades</t>
  </si>
  <si>
    <t>Modelo organizacional</t>
  </si>
  <si>
    <t>Papéis e responsabilidades</t>
  </si>
  <si>
    <t>Alçadas e decisões</t>
  </si>
  <si>
    <t>Comitês e fóruns</t>
  </si>
  <si>
    <t>Capacidade e competências</t>
  </si>
  <si>
    <t>Metodologia de gestão CAPEX</t>
  </si>
  <si>
    <t>Padrões e templates</t>
  </si>
  <si>
    <t>Gestão do conhecimento</t>
  </si>
  <si>
    <t>Critérios de avaliação e priorização técnica</t>
  </si>
  <si>
    <t>Pleitos e aditivos</t>
  </si>
  <si>
    <t>Conformidade contratual</t>
  </si>
  <si>
    <t>Política de contingências</t>
  </si>
  <si>
    <t>Arquitetura de sistemas</t>
  </si>
  <si>
    <t>Integração entre sistemas</t>
  </si>
  <si>
    <t>Modelo e governança de dados</t>
  </si>
  <si>
    <t>Reports e dashboards</t>
  </si>
  <si>
    <t>Rastreabilidade da informação</t>
  </si>
  <si>
    <t>Detalhamento</t>
  </si>
  <si>
    <t>Estrutura Organizacional e Governança do CAPEX</t>
  </si>
  <si>
    <t>Ritos e Fluxo de Governança</t>
  </si>
  <si>
    <t>Exposição financeira</t>
  </si>
  <si>
    <t>Integração com áreas corporativas</t>
  </si>
  <si>
    <t>Integração pré-bid e originação de projetos</t>
  </si>
  <si>
    <t>Gestão de Riscos do portfólio</t>
  </si>
  <si>
    <t>Requisitos de dados e analytics</t>
  </si>
  <si>
    <t>Avaliação do nível atual de governança e gestão de CAPEX</t>
  </si>
  <si>
    <t>Comparação entre plataformas (ex.: Trilhos × Rodovias)</t>
  </si>
  <si>
    <t>Referências de mercado e boas práticas</t>
  </si>
  <si>
    <t>Identificação de modelos de governança e gestão aplicáveis</t>
  </si>
  <si>
    <t>Principais gaps estruturais identificados</t>
  </si>
  <si>
    <t>Estrutura do Núcleo, posicionamento organizacional e interfaces</t>
  </si>
  <si>
    <t>Distribuição de responsabilidades entre áreas e funções</t>
  </si>
  <si>
    <t>Matriz decisória, critérios por valor, prazo e criticidade</t>
  </si>
  <si>
    <t>Estrutura e funcionamento dos fóruns decisórios e Comitê de CAPEX</t>
  </si>
  <si>
    <t>Dimensionamento do Núcleo, perfis profissionais e competências</t>
  </si>
  <si>
    <t>Funcionamento dos fóruns, rituais e fluxos decisórios para avaliação e aprovação de investimentos de CAPEX.</t>
  </si>
  <si>
    <t>Modelo de gestão de projetos e investimentos</t>
  </si>
  <si>
    <t>Templates, processos e padrões operacionais</t>
  </si>
  <si>
    <t>Manual de métodos, biblioteca de templates e lições aprendidas</t>
  </si>
  <si>
    <t>Metodologia para identificação e captura de valor em projetos</t>
  </si>
  <si>
    <t>Critérios técnicos e econômicos para avaliação de projetos</t>
  </si>
  <si>
    <t>Gestão do ciclo contratual do CAPEX, incluindo planejamento da contratação, execução contratual, medições, alterações, pleitos e encerramento, em articulação com Suprimentos, Engenharia e Jurídico.</t>
  </si>
  <si>
    <t>Gestão de mudanças contratuais e pleitos</t>
  </si>
  <si>
    <t>Aderência às regras contratuais e governança documental</t>
  </si>
  <si>
    <t>Regras e critérios para uso de contingências de CAPEX</t>
  </si>
  <si>
    <t>Monitoramento de riscos financeiros e consumo de contingência</t>
  </si>
  <si>
    <t>Integração do Núcleo de CAPEX com áreas corporativas como Suprimentos, Jurídico, Finanças, Engenharia e Riscos para gestão de contratos e investimentos.</t>
  </si>
  <si>
    <t>Modelo de governança e gestão do portfólio de investimentos</t>
  </si>
  <si>
    <t>Critérios e processo de priorização de projetos</t>
  </si>
  <si>
    <t>Etapas do ciclo de vida e gates decisórios</t>
  </si>
  <si>
    <t>Estrutura e atuação do escritório de projetos</t>
  </si>
  <si>
    <t>Acompanhamento de avanço físico, financeiro e cronograma</t>
  </si>
  <si>
    <t>Painéis de acompanhamento e relatórios executivos</t>
  </si>
  <si>
    <t>Participação do Núcleo de CAPEX na estruturação inicial de projetos, garantindo avaliação preliminar de escopo, estimativas, riscos e estratégia de contratação, antes da aprovação do investimento.</t>
  </si>
  <si>
    <t>Identificação, avaliação e monitoramento de riscos associados aos investimentos e ao portfólio de projetos, incluindo impacto em prazo, custo e viabilidade dos projetos.</t>
  </si>
  <si>
    <t>Estrutura de sistemas de suporte à gestão de CAPEX</t>
  </si>
  <si>
    <t>Integração entre sistemas corporativos</t>
  </si>
  <si>
    <t>Estrutura de gestão e qualidade dos dados</t>
  </si>
  <si>
    <t>Requisitos mínimos de dados, rastreabilidade e consistência</t>
  </si>
  <si>
    <t>Estrutura de visualização e reporte de informações</t>
  </si>
  <si>
    <t>Rastreabilidade das informações ao longo do ciclo do projeto</t>
  </si>
  <si>
    <t>"Cada área aprova projetos de um jeito diferente."</t>
  </si>
  <si>
    <t>Ausência de padronização na governança decisória de investimentos</t>
  </si>
  <si>
    <t>Framework atual</t>
  </si>
  <si>
    <t>Interpretação analítica da evidência</t>
  </si>
  <si>
    <t>Trecho literal da entrevista</t>
  </si>
  <si>
    <t>Onde o problema ocorre</t>
  </si>
  <si>
    <t>Classificação do efeito no desempenho</t>
  </si>
  <si>
    <t>Nível 6 — Recorrência</t>
  </si>
  <si>
    <t>Quantas entrevistas citaram o mesmo problema</t>
  </si>
  <si>
    <t>Nível 3 — Dimensão</t>
  </si>
  <si>
    <t>Nível 4 — Disciplina</t>
  </si>
  <si>
    <t>Avaliação do nível atual de governança e gestão do CAPEX na organização.</t>
  </si>
  <si>
    <t>Comparação de práticas entre plataformas ou áreas da organização.</t>
  </si>
  <si>
    <t>Comparação com práticas de mercado e referências de gestão de CAPEX.</t>
  </si>
  <si>
    <t>Estrutura organizacional do Núcleo de CAPEX e suas interfaces com outras áreas.</t>
  </si>
  <si>
    <t>Definição e distribuição de responsabilidades entre áreas e funções.</t>
  </si>
  <si>
    <t>Critérios decisórios e matriz de alçadas para aprovação e condução de investimentos.</t>
  </si>
  <si>
    <t>Estrutura e funcionamento dos fóruns de governança e comitês decisórios.</t>
  </si>
  <si>
    <t>Funcionamento dos rituais de gestão e fluxos decisórios do CAPEX.</t>
  </si>
  <si>
    <t>Dimensionamento do Núcleo, perfis profissionais e competências necessárias.</t>
  </si>
  <si>
    <t>Modelo metodológico para gestão de projetos e investimentos.</t>
  </si>
  <si>
    <t>Padronização de templates, processos e artefatos de gestão.</t>
  </si>
  <si>
    <t>Estrutura de disseminação de conhecimento, lições aprendidas e padrões metodológicos.</t>
  </si>
  <si>
    <t>Aplicação de práticas para identificação e captura de valor em projetos.</t>
  </si>
  <si>
    <t>Critérios técnicos e econômicos utilizados para análise e priorização de projetos.</t>
  </si>
  <si>
    <t>Gestão do ciclo contratual do CAPEX, incluindo contratação, execução e encerramento.</t>
  </si>
  <si>
    <t>Gestão de mudanças contratuais, pleitos e renegociações.</t>
  </si>
  <si>
    <t>Aderência às cláusulas contratuais e governança documental dos contratos.</t>
  </si>
  <si>
    <t>Critérios e regras para utilização de contingências de CAPEX.</t>
  </si>
  <si>
    <t>Monitoramento de riscos financeiros associados a contratos e investimentos.</t>
  </si>
  <si>
    <t>Integração do Núcleo com Suprimentos, Jurídico, Engenharia, Finanças e Riscos.</t>
  </si>
  <si>
    <t>Estrutura de governança para gestão e acompanhamento do portfólio de investimentos.</t>
  </si>
  <si>
    <t>Critérios e processo de seleção e priorização de projetos.</t>
  </si>
  <si>
    <t>Estrutura do ciclo de vida dos projetos e etapas decisórias (gates).</t>
  </si>
  <si>
    <t>Estrutura e atuação do escritório de projetos no acompanhamento do CAPEX.</t>
  </si>
  <si>
    <t>Acompanhamento do avanço físico, financeiro e de cronograma dos projetos.</t>
  </si>
  <si>
    <t>Estrutura de indicadores e relatórios para gestão executiva do portfólio.</t>
  </si>
  <si>
    <t>Participação do Núcleo na estruturação inicial e avaliação preliminar de projetos.</t>
  </si>
  <si>
    <t>Identificação, avaliação e monitoramento de riscos dos investimentos.</t>
  </si>
  <si>
    <t>Estrutura de sistemas utilizados na gestão de CAPEX.</t>
  </si>
  <si>
    <t>Integração entre sistemas corporativos e operacionais.</t>
  </si>
  <si>
    <t>Estrutura de gestão, qualidade e padronização de dados.</t>
  </si>
  <si>
    <t>Requisitos mínimos de dados e uso de analytics na gestão do CAPEX.</t>
  </si>
  <si>
    <t>Estrutura de visualização e análise de informações gerenciais.</t>
  </si>
  <si>
    <t>Capacidade de rastrear dados e decisões ao longo do ciclo de vida do projeto.</t>
  </si>
  <si>
    <t>Previsibilidade de Prazo e Entrega</t>
  </si>
  <si>
    <t>Impactos na confiabilidade de cronogramas, previsibilidade de marcos e capacidade de entregar projetos dentro do prazo planejado.</t>
  </si>
  <si>
    <t>Eficiência e Controle de Capital</t>
  </si>
  <si>
    <t>Impactos na precisão de estimativas, controle orçamentário e uso eficiente do CAPEX ao longo do ciclo de vida dos projetos.</t>
  </si>
  <si>
    <t>Qualidade da Tomada de Decisão de Investimentos</t>
  </si>
  <si>
    <t>Impactos na capacidade de avaliar, priorizar e aprovar investimentos com base em critérios técnicos, econômicos e estratégicos consistentes.</t>
  </si>
  <si>
    <t>Efetividade da Governança de CAPEX</t>
  </si>
  <si>
    <t>Impactos na clareza de responsabilidades, funcionamento da governança e qualidade dos processos decisórios sobre investimentos.</t>
  </si>
  <si>
    <t>Eficiência Operacional da Execução</t>
  </si>
  <si>
    <t>Impactos na produtividade das equipes, retrabalho, burocracia e eficiência do ciclo de execução dos projetos.</t>
  </si>
  <si>
    <t>Exposição a Riscos de Investimento</t>
  </si>
  <si>
    <t>Impactos na identificação, avaliação e mitigação de riscos que afetam prazo, custo e viabilidade dos projetos.</t>
  </si>
  <si>
    <t>Qualidade Técnica e Maturidade de Engenharia</t>
  </si>
  <si>
    <t>Impactos na robustez do escopo, qualidade da engenharia e maturidade técnica das soluções adotadas.</t>
  </si>
  <si>
    <t>Performance Contratual e Cadeia de Fornecimento</t>
  </si>
  <si>
    <t>Impactos na estratégia de contratação, gestão de contratos e desempenho de fornecedores na execução do CAPEX.</t>
  </si>
  <si>
    <t>Confiabilidade da Informação e Suporte à Decisão</t>
  </si>
  <si>
    <t>Impactos na qualidade, rastreabilidade e disponibilidade de dados e sistemas para gestão e tomada de decisão.</t>
  </si>
  <si>
    <t>Identificação de práticas consolidadas e modelos de referência utilizados na gestão de CAPEX.</t>
  </si>
  <si>
    <t>Identificação de lacunas estruturais e oportunidades de evolução na gestão do CAPEX.</t>
  </si>
  <si>
    <t>Dimensão</t>
  </si>
  <si>
    <t>Estrutura Organizacional e Governança</t>
  </si>
  <si>
    <t>Definição do modelo organizacional do Núcleo de CAPEX, incluindo papéis, responsabilidades, alçadas decisórias, fóruns de governança e fluxos de decisão que suportam a gestão dos investimentos.</t>
  </si>
  <si>
    <t>Estrutura metodológica utilizada para gestão de projetos de CAPEX, incluindo padronização de processos, templates, gestão do conhecimento e aplicação de práticas de engenharia de valor para otimização técnica e econômica dos projetos.</t>
  </si>
  <si>
    <t>Estrutura de governança e gestão do ciclo contratual do CAPEX, incluindo administração de contratos, gestão de pleitos e aditivos, conformidade contratual, política de contingências e monitoramento de exposição financeira.</t>
  </si>
  <si>
    <t>Estrutura de governança responsável pela seleção, priorização, acompanhamento e controle do portfólio de investimentos, incluindo atuação do PMO, monitoramento físico-financeiro, indicadores executivos e gestão de riscos do portfólio.</t>
  </si>
  <si>
    <t>Estrutura de sistemas, governança de dados e ferramentas analíticas utilizadas para suportar a gestão do CAPEX, garantindo integração de informações, confiabilidade de dados, rastreabilidade e suporte à tomada de decisão.</t>
  </si>
  <si>
    <t>entrevistado</t>
  </si>
  <si>
    <t>evidencia</t>
  </si>
  <si>
    <t>problema_estrutural</t>
  </si>
  <si>
    <t>dimensao</t>
  </si>
  <si>
    <t>impacto</t>
  </si>
  <si>
    <t>abrangencia</t>
  </si>
  <si>
    <t>recorrente</t>
  </si>
  <si>
    <t>A gestão da contingência ainda não tem processo instituído.</t>
  </si>
  <si>
    <t>WILLIAM NASCIMENTO MARINS</t>
  </si>
  <si>
    <t>ocorrencias</t>
  </si>
  <si>
    <t>entrevistas_afetadas</t>
  </si>
  <si>
    <t>Fechamento mensal exige conciliar notas e pagamentos entre várias ferramentas.</t>
  </si>
  <si>
    <t>Consolidação manual de informações físico-financeiras</t>
  </si>
  <si>
    <t>Cada plataforma trabalha de um jeito e não pode haver uma vertical por método.</t>
  </si>
  <si>
    <t>Padronização insuficiente entre plataformas de CAPEX</t>
  </si>
  <si>
    <t>Na obra civil já houve trocas porque construtoras pequenas não aguentam permanecer.</t>
  </si>
  <si>
    <t>Robustez financeira insuficiente de construtoras civis</t>
  </si>
  <si>
    <t>Em sistemas, muitas vezes praticamente não existe opção real de fornecedor.</t>
  </si>
  <si>
    <t>Baixa concorrência em fornecedores críticos de sistemas</t>
  </si>
  <si>
    <t>A engenharia de valor só entrou quando o valor ficou muito acima do orçamento.</t>
  </si>
  <si>
    <t>Engenharia de valor acionada tardiamente</t>
  </si>
  <si>
    <t>Não ficou claro se operação e manutenção participaram da engenharia de valor.</t>
  </si>
  <si>
    <t>Validação operacional insuficiente na engenharia de valor</t>
  </si>
  <si>
    <t>A priorização já ocorreu pela lógica de quem gritava mais.</t>
  </si>
  <si>
    <t>Priorização de projetos orientada por urgência informal</t>
  </si>
  <si>
    <t>A estrutura é nova e as pessoas ainda estão mudando o modelo mental.</t>
  </si>
  <si>
    <t>Papéis e responsabilidades ainda indefinidos pós-reestruturação</t>
  </si>
  <si>
    <t>Gerência</t>
  </si>
  <si>
    <t>A construção do projeto se espreme no tempo e isso aumenta aditivos.</t>
  </si>
  <si>
    <t>Maturação de projetos ocorre com baixa antecedência</t>
  </si>
  <si>
    <t>Não há muita rastreabilidade entre contingência prevista e contingência utilizada.</t>
  </si>
  <si>
    <t>Rastreabilidade insuficiente do uso de contingências</t>
  </si>
  <si>
    <t>As plataformas se fecharam e a informação demora semanas para circular.</t>
  </si>
  <si>
    <t>Barreiras matriciais retardam o fluxo de informações</t>
  </si>
  <si>
    <t>A estrutura era carregada de especialistas e o projeto passava por vários responsáveis.</t>
  </si>
  <si>
    <t>Estrutura excessivamente especializada fragmenta a gestão</t>
  </si>
  <si>
    <t>Falta um responsável claro e definido pelo projeto.</t>
  </si>
  <si>
    <t>Ausência de responsável único por projeto</t>
  </si>
  <si>
    <t>Há olhar muito técnico e pouca gestão contratual, dificultando métricas.</t>
  </si>
  <si>
    <t>Gestão contratual e riscos pulverizada entre áreas</t>
  </si>
  <si>
    <t>Problemas simples voltam para projetos e isso paralisa o campo.</t>
  </si>
  <si>
    <t>Alçadas de decisão insuficientes na implantação</t>
  </si>
  <si>
    <t>Contratos e riscos antes não existiam como área e os temas ficavam diluídos.</t>
  </si>
  <si>
    <t>Processo de contingência não integrado ao orçamento</t>
  </si>
  <si>
    <t>Cada um mandava carta de um jeito e o controle contratual ficava solto.</t>
  </si>
  <si>
    <t>Comunicação contratual sem padronização nem controle</t>
  </si>
  <si>
    <t>Não existe sistema único; o controle depende de Excel, Teams e Planner.</t>
  </si>
  <si>
    <t>Integração sistêmica insuficiente entre ferramentas de CAPEX</t>
  </si>
  <si>
    <t>Aditivos viram problema porque orçamentos e prazos contratuais são insuficientes.</t>
  </si>
  <si>
    <t>Orçamentos contratuais insuficientes para execução</t>
  </si>
  <si>
    <t>Não há sinergia nem clareza sobre como as demais áreas constroem cronogramas.</t>
  </si>
  <si>
    <t>Visibilidade insuficiente sobre carteiras das demais áreas</t>
  </si>
  <si>
    <t>A maior dificuldade é manter uma base central consolidada das carteiras.</t>
  </si>
  <si>
    <t>Ferramenta PPM limitada para rastreabilidade do portfólio</t>
  </si>
  <si>
    <t>Projetos de sustento e crescimento acabam tratados todos como Capex.</t>
  </si>
  <si>
    <t>Classificação indistinta entre tipos de investimento</t>
  </si>
  <si>
    <t>A limitação de caixa vira atraso reportado sem atacar a causa raiz.</t>
  </si>
  <si>
    <t>Pressão de caixa distorce priorização e execução</t>
  </si>
  <si>
    <t>Quatro pessoas acompanham cerca de sessenta projetos.</t>
  </si>
  <si>
    <t>Capacidade insuficiente de PMO frente ao portfólio</t>
  </si>
  <si>
    <t>Faltam automação e sistemas integrados; sobra trabalho manual recorrente.</t>
  </si>
  <si>
    <t>Falta de automação gera trabalho manual recorrente</t>
  </si>
  <si>
    <t>A ferramenta atende o corporativo, mas não atende bem o dia a dia.</t>
  </si>
  <si>
    <t>Ferramentas priorizam reporte corporativo sobre operação</t>
  </si>
  <si>
    <t>Há passagens sem valor agregado que acabam virando gargalos.</t>
  </si>
  <si>
    <t>Handoffs de governança sem valor agregado</t>
  </si>
  <si>
    <t>Ainda falta clareza sobre o grau de autonomia da plataforma.</t>
  </si>
  <si>
    <t>Coordenação</t>
  </si>
  <si>
    <t>Não temos pessoas capacitadas para avançar no ritmo que a carteira exige.</t>
  </si>
  <si>
    <t>Capacidade insuficiente para planejamento avançado</t>
  </si>
  <si>
    <t>A restrição só é comunicada quando a semana chega, sem antecedência.</t>
  </si>
  <si>
    <t>Restrição crítica não é reportada com antecedência</t>
  </si>
  <si>
    <t>A análise do baseline atrasou vinte dias por validação contratual externa.</t>
  </si>
  <si>
    <t>Interface FIDIC alonga validações de cronograma</t>
  </si>
  <si>
    <t>Há avaliação rasa e termo de referência raso, exigindo muitas revisões.</t>
  </si>
  <si>
    <t>Termos de referência rasos geram retrabalho contratual</t>
  </si>
  <si>
    <t>Não há visão cascateada das etapas e demandas nem em SAP nem em PEP.</t>
  </si>
  <si>
    <t>Visibilidade insuficiente da demanda futura para suprimentos</t>
  </si>
  <si>
    <t>É difícil mensurar capacidade de fornecedores sem visão dos projetos futuros.</t>
  </si>
  <si>
    <t>Fornecedor crítico sem capacidade visível para o pipeline</t>
  </si>
  <si>
    <t>Sem orçamento detalhado, suprimentos recebe contratações sem tempo e elementos.</t>
  </si>
  <si>
    <t>Suprimentos recebe contratações sem tempo e elementos</t>
  </si>
  <si>
    <t>Sem projeto detalhado e sem tempo, o mercado precifica o risco.</t>
  </si>
  <si>
    <t>Trilhos nunca teve a mesma estrutura de planejamento e custos de rodovias.</t>
  </si>
  <si>
    <t>Maturidade desigual entre plataformas dificulta padronização</t>
  </si>
  <si>
    <t>As plataformas parecem quase duas empresas diferentes dentro da mesma empresa.</t>
  </si>
  <si>
    <t>Sem planejamento, compra-se picado e perde-se escala.</t>
  </si>
  <si>
    <t>O núcleo de Capex ainda precisa ter papel claro em contratos e aditivos.</t>
  </si>
  <si>
    <t>Perde-se muita eficiência por não haver estrutura integrada de informação.</t>
  </si>
  <si>
    <t>O Capex é controlado pelo financeiro, não pelo econômico do projeto.</t>
  </si>
  <si>
    <t>Cronogramas insuficientemente estruturados para controle econômico</t>
  </si>
  <si>
    <t>A engenharia assume atividade administrativa robusta que não deveria absorver.</t>
  </si>
  <si>
    <t>O perfil contratado não corresponde ao que a função de planejamento exige.</t>
  </si>
  <si>
    <t>Faltam pessoas e saídas da equipe geram ruptura relevante.</t>
  </si>
  <si>
    <t>Capacidade executiva inferior ao portfólio planejado</t>
  </si>
  <si>
    <t>A administração contratual está sendo estruturada com a bicicleta andando.</t>
  </si>
  <si>
    <t>Foi necessário difundir cultura de administração contratual e de registro.</t>
  </si>
  <si>
    <t>Projetos básicos ou sem projeto viraram oportunidades para muitos pleitos.</t>
  </si>
  <si>
    <t>Governança e burocracias travam o processo de medição e pagamento.</t>
  </si>
  <si>
    <t>Processos operacionais de pagamento geram atraso aos fornecedores</t>
  </si>
  <si>
    <t>Quanto mais demora para pagar, mais o fornecedor pequeno é prejudicado.</t>
  </si>
  <si>
    <t>Fornecedores pequenos não suportam prazos de governança</t>
  </si>
  <si>
    <t>Mesmo com mérito, um pleito pode não ser aceito pelo concedente.</t>
  </si>
  <si>
    <t>Estratégia de contratação condicionada pelo poder concedente</t>
  </si>
  <si>
    <t>Ordem de serviço e medição dependem de anuência e certificação externas.</t>
  </si>
  <si>
    <t>Governança de aprovação pouco responsiva à urgência de obra</t>
  </si>
  <si>
    <t>Especialista / PMO</t>
  </si>
  <si>
    <t>A maior dificuldade hoje é cumprir prazo de consolidação.</t>
  </si>
  <si>
    <t>Cumprimento de prazos da consolidação é inconsistente</t>
  </si>
  <si>
    <t>A consolidação é muito manual e os números às vezes não batem.</t>
  </si>
  <si>
    <t>Cada unidade trabalha com premissas diferentes para consolidar tendências.</t>
  </si>
  <si>
    <t>Não existe padronização central de ferramenta de cronograma ou tendência.</t>
  </si>
  <si>
    <t>As unidades querem que tudo seja prioridade, sem filtro de valor ao negócio.</t>
  </si>
  <si>
    <t>Em trilhos existem fornecedores únicos e a troca não é simples.</t>
  </si>
  <si>
    <t>Perde-se tempo e dinheiro por falta de conhecimento técnico em suprimentos.</t>
  </si>
  <si>
    <t>Falta conhecimento técnico em suprimentos para categorias críticas</t>
  </si>
  <si>
    <t>A engenharia ainda é arcaica em prazo e custo.</t>
  </si>
  <si>
    <t>Ainda se controla em planilha e Project, sujeito a erro humano.</t>
  </si>
  <si>
    <t>As unidades ainda têm dificuldade de reconhecer a lógica matricial.</t>
  </si>
  <si>
    <t>Unidades resistem à lógica matricial do CAPEX</t>
  </si>
  <si>
    <t>Quem gerencia Capex não tem autonomia plena sobre processos operacionais.</t>
  </si>
  <si>
    <t>Atrasos de pagamento fazem fornecedor pequeno tirar o pé da obra.</t>
  </si>
  <si>
    <t>Suprimentos deveria ter dedicação exclusiva para Capex e implantação.</t>
  </si>
  <si>
    <t>Um aditivo não deveria demorar, mas hoje demora.</t>
  </si>
  <si>
    <t>Morosidade decisória em aditivos contratuais</t>
  </si>
  <si>
    <t>Empresas pequenas tendem a quebrar ou desistir com a demora da governança.</t>
  </si>
  <si>
    <t>Faltam ferramentas padronizadas e integradas entre plataformas.</t>
  </si>
  <si>
    <t>A maturidade sobre contingência ainda é baixa na implantação.</t>
  </si>
  <si>
    <t>Baixa maturidade de gestão de riscos na ponta</t>
  </si>
  <si>
    <t>Falta uma estrutura na holding que indique diretrizes a serem seguidas.</t>
  </si>
  <si>
    <t>Falta de diretrizes corporativas para padronização SGQ</t>
  </si>
  <si>
    <t>É difícil achar referência interna de onde copiar algo parecido.</t>
  </si>
  <si>
    <t>Lições aprendidas pouco estruturadas e reaproveitadas</t>
  </si>
  <si>
    <t>A gestão em silos aconteceu com frequência no ambiente de implantação.</t>
  </si>
  <si>
    <t>Há resistência à padronização entre áreas e unidades.</t>
  </si>
  <si>
    <t>A precificação depende de dado histórico comparável e essa base ainda é insuficiente.</t>
  </si>
  <si>
    <t>Dados históricos insuficientes para precificação de riscos</t>
  </si>
  <si>
    <t>Sem referência histórica, os modelos não conseguem ser retroalimentados.</t>
  </si>
  <si>
    <t>Ainda não há sinergia entre ferramentas e módulos usados na área.</t>
  </si>
  <si>
    <t>As pessoas falam de risco o tempo todo, mas não têm muita noção.</t>
  </si>
  <si>
    <t>Quem está na obra vê o risco, mas muitas vezes não reporta.</t>
  </si>
  <si>
    <t>Riscos de obra não reportados tempestivamente</t>
  </si>
  <si>
    <t>Não havia processo para colocar o valor da contingência no orçamento.</t>
  </si>
  <si>
    <t>Extrai do SAP e faz tratativa em Excel, em rotina muito operacional.</t>
  </si>
  <si>
    <t>Relatórios SAP exigem tratamento manual por gestão</t>
  </si>
  <si>
    <t>O prazo corporativo aperta e ainda faltam notas e pagamentos no SAP.</t>
  </si>
  <si>
    <t>O econômico-financeiro segue para planilhas e apresentações periódicas.</t>
  </si>
  <si>
    <t>Antes cada analista carregava muitos projetos na carteira.</t>
  </si>
  <si>
    <t>nivel</t>
  </si>
  <si>
    <t>plataforma</t>
  </si>
  <si>
    <t>disciplina</t>
  </si>
  <si>
    <t>total</t>
  </si>
  <si>
    <t>hipotese</t>
  </si>
  <si>
    <t>evidencia_sintese</t>
  </si>
  <si>
    <t>como_testar</t>
  </si>
  <si>
    <t>status</t>
  </si>
  <si>
    <t>A fragmentação entre sistemas e bases impede visão confiável e tempestiva do CAPEX.</t>
  </si>
  <si>
    <t>Recorrem integração sistêmica insuficiente, consolidação manual e prazos inconsistentes de consolidação.</t>
  </si>
  <si>
    <t>Mapear fluxos entre SAP, PPM, planilhas e bases locais; medir reconciliações manuais, retrabalho e divergências mensais.</t>
  </si>
  <si>
    <t>Em construção</t>
  </si>
  <si>
    <t>O desenho pós-reestruturação ainda não estabilizou papéis, alçadas e handoffs operacionais.</t>
  </si>
  <si>
    <t>Recorrem papéis indefinidos, alçadas insuficientes, handoffs sem valor e resistência à lógica matricial.</t>
  </si>
  <si>
    <t>Rastrear decisões críticas por tipo de processo; medir tempos de aprovação, retrabalho e pontos sem dono claro.</t>
  </si>
  <si>
    <t>A maturação insuficiente a montante está elevando aditivos, retrabalho e custo de contratação.</t>
  </si>
  <si>
    <t>Recorrem engenharia de valor tardia, termos de referência rasos e projetos maturados com baixa antecedência.</t>
  </si>
  <si>
    <t>Comparar lead time de maturação versus incidência de revisões, pleitos e variações orçamentárias por projeto.</t>
  </si>
  <si>
    <t>O ciclo contratual e de pagamentos opera em ritmo inferior ao necessário para a execução.</t>
  </si>
  <si>
    <t>Recorrem atrasos de pagamento, morosidade em aditivos, aprovação lenta e fragilidade financeira de fornecedores.</t>
  </si>
  <si>
    <t>Medir lead time de medição, pagamento e aditivos; cruzar com impacto em mobilização, desempenho e permanência de fornecedores.</t>
  </si>
  <si>
    <t>A gestão de riscos e contingências ainda não fecha o ciclo entre identificação, orçamento e uso efetivo.</t>
  </si>
  <si>
    <t>Recorrem baixa maturidade de riscos, contingência sem processo integrado e baixa rastreabilidade de utilização.</t>
  </si>
  <si>
    <t>Auditar fluxo de risco e contingência do registro ao orçamento; comparar previsão, aprovação, uso e reporte.</t>
  </si>
  <si>
    <t>A capacidade crítica de PMO, planejamento e suprimentos está abaixo da complexidade do portfólio.</t>
  </si>
  <si>
    <t>Recorrem sobrecarga de carteira, falta de pessoas capacitadas, perfis inadequados e conhecimento técnico insuficiente em suprimentos.</t>
  </si>
  <si>
    <t>Dimensionar carga por função, carteira e especialidade; comparar capacidade instalada, vagas abertas e atrasos associados.</t>
  </si>
  <si>
    <t>Validação final</t>
  </si>
  <si>
    <t>total_entrevistas_analisadas</t>
  </si>
  <si>
    <t>total_evidencias_validas</t>
  </si>
  <si>
    <t>total_problemas_estruturais_distintos</t>
  </si>
  <si>
    <t>consolidacao</t>
  </si>
  <si>
    <t>Nós ainda não temos uma padronização de RDO; um pode fazer por Excel, outro por Word.</t>
  </si>
  <si>
    <t>Nunca participei de uma reunião de núcleo de Capex; o contato maior é o PMO.</t>
  </si>
  <si>
    <t>Do material do comitê, vira um tabelão, um Excelzão, e fica dúvida de leitura.</t>
  </si>
  <si>
    <t>Tem muita dúvida ainda do papel do núcleo e das conexões com as plataformas.</t>
  </si>
  <si>
    <t>A gente não acessa se não tiver essa aprovação.</t>
  </si>
  <si>
    <t>A gente pode incrementar contingência sem ter sido originado do plano de negócios.</t>
  </si>
  <si>
    <t>Existe um excesso de trabalho manual.</t>
  </si>
  <si>
    <t>Por ser Excel, é difícil até padronizar isso.</t>
  </si>
  <si>
    <t>Às vezes o núcleo dá uma diretriz e o financeiro dá outra.</t>
  </si>
  <si>
    <t>Não tem sistema que deixe isso muito visível.</t>
  </si>
  <si>
    <t>É muito trabalho manual para extrair informação, consolidar num Excel e chegar num número final.</t>
  </si>
  <si>
    <t>A contingência hoje é quase gerida de forma ad hoc por cada estrutura.</t>
  </si>
  <si>
    <t>Será que a gente não tem oportunidade de evoluir na padronização sem burocracia?</t>
  </si>
  <si>
    <t>O núcleo do Capex não tem hoje.</t>
  </si>
  <si>
    <t>O processo é extremamente burocrático e moroso.</t>
  </si>
  <si>
    <t>Não tem sistema, não tem ferramenta; é tudo em Excel, milhões de pessoas botando a mão.</t>
  </si>
  <si>
    <t>A gente faz extrações dos sistemas dos PEPs, consolida e disponibiliza o acompanhamento.</t>
  </si>
  <si>
    <t>Com o núcleo, a minha interação é muito baixa.</t>
  </si>
  <si>
    <t>É tudo o que é antes, era manual.</t>
  </si>
  <si>
    <t>A gente faz muita coisa manualmente porque não tem as ferramentas adequadas.</t>
  </si>
  <si>
    <t>Oficialmente eu não tenho nenhuma rotina com o núcleo.</t>
  </si>
  <si>
    <t>Se a gente tivesse já uma padronização de fluxo, isso seria muito facilitado.</t>
  </si>
  <si>
    <t>Esses fluxos possivelmente não foram atualizados com o papel do diretor da unidade.</t>
  </si>
  <si>
    <t>Às vezes a unidade faz um input manual no fluxo de caixa e a gente não sabe o que é.</t>
  </si>
  <si>
    <t>Muitos sistemas diferentes que não estão integrados, não se conversam.</t>
  </si>
  <si>
    <t>A gente vai avaliando para incorporar isso nos orçamentos, principalmente para os pré-bids, para não termos problema futuro.</t>
  </si>
  <si>
    <t>Ainda não tem um histórico consolidado para chegar a um diagnóstico.</t>
  </si>
  <si>
    <t>O papel dentro dos gates é questionar alterações que surgiram durante o ciclo.</t>
  </si>
  <si>
    <t>Uma premissa do plano de negócio pode não se confirmar na execução e precisa ser revisitada.</t>
  </si>
  <si>
    <t>Vou ter diferenças de impostos e vou precisar fazer o tratamento manual.</t>
  </si>
  <si>
    <t>A medição passa por quatro níveis de aprovação.</t>
  </si>
  <si>
    <t>Tudo isso que a gente faz é manual, é tudo controle manual, de idas e vindas.</t>
  </si>
  <si>
    <t>O processo de pagamento no SAP é muito complexo para cada pagamento judicial.</t>
  </si>
  <si>
    <t>Tudo é extremamente manual e leva muito tempo.</t>
  </si>
  <si>
    <t>Não está claro para mim o papel do núcleo e como a gente se liga entre as gestões.</t>
  </si>
  <si>
    <t>NELSON SOARES NETO</t>
  </si>
  <si>
    <t>Quanto mais manual, mais suscetível a erro vai estar.</t>
  </si>
  <si>
    <t>Morosidade e falta de retorno do órgão ambiental afetam o avanço.</t>
  </si>
  <si>
    <t>Eu não consigo criar a folha de registro.</t>
  </si>
  <si>
    <t>Tem muita medição ainda sem aprovação; sem isso eu não consigo lançar as notas.</t>
  </si>
  <si>
    <t>Esse excesso de aprovação gera problema e pode excluir a medição do sistema.</t>
  </si>
  <si>
    <t>Na hora de lançar, o time não conseguia fazer esse lançamento.</t>
  </si>
  <si>
    <t>Há dados controlados manualmente e relatórios pedidos por áreas que não batem.</t>
  </si>
  <si>
    <t>Monte de Excel, SharePoints e Projects offline que não se conversam.</t>
  </si>
  <si>
    <t>Às vezes eu deixo de colocar um guarda-corpo e depois vira um passivo.</t>
  </si>
  <si>
    <t>Os projetos mais antigos não têm contingência de plano de negócio ou reestudo.</t>
  </si>
  <si>
    <t>Se não foi previsto no plano de negócio, continua não previsto; é um risco novo.</t>
  </si>
  <si>
    <t>Tudo que é descentralizado e não integrado quer dizer muitas ações manuais.</t>
  </si>
  <si>
    <t>O cenário atual é uma empresa descentralizada e sem integração.</t>
  </si>
  <si>
    <t>É muita gente, porque o modelo de governança da Motiva é muito pesado.</t>
  </si>
  <si>
    <t>Todo mundo precificando todas as contingências inviabilizou o projeto.</t>
  </si>
  <si>
    <t>André Luis Teixeira Olveira Freitas</t>
  </si>
  <si>
    <r>
      <rPr>
        <b/>
        <sz val="11"/>
        <color theme="1"/>
        <rFont val="Century Gothic"/>
        <family val="2"/>
      </rPr>
      <t>Gabriel</t>
    </r>
    <r>
      <rPr>
        <sz val="11"/>
        <color theme="1"/>
        <rFont val="Century Gothic"/>
        <family val="2"/>
      </rPr>
      <t>, Leticia e Vitor</t>
    </r>
  </si>
  <si>
    <r>
      <rPr>
        <b/>
        <sz val="11"/>
        <color theme="1"/>
        <rFont val="Century Gothic"/>
        <family val="2"/>
      </rPr>
      <t>Priscila</t>
    </r>
    <r>
      <rPr>
        <sz val="11"/>
        <color theme="1"/>
        <rFont val="Century Gothic"/>
        <family val="2"/>
      </rPr>
      <t>, Sergio e Bruno</t>
    </r>
  </si>
  <si>
    <r>
      <t xml:space="preserve">Bella, Le e </t>
    </r>
    <r>
      <rPr>
        <b/>
        <sz val="11"/>
        <color theme="1"/>
        <rFont val="Century Gothic"/>
        <family val="2"/>
      </rPr>
      <t>Vitor</t>
    </r>
  </si>
  <si>
    <t>romulo.nagumo@motiva.com.br</t>
  </si>
  <si>
    <t>Gerente Executivo Arquitetura Coporativo</t>
  </si>
  <si>
    <r>
      <rPr>
        <b/>
        <sz val="11"/>
        <color theme="1"/>
        <rFont val="Century Gothic"/>
        <family val="2"/>
      </rPr>
      <t xml:space="preserve">Bella, </t>
    </r>
    <r>
      <rPr>
        <sz val="11"/>
        <color theme="1"/>
        <rFont val="Century Gothic"/>
        <family val="2"/>
      </rPr>
      <t>Priscila e Sergio</t>
    </r>
  </si>
  <si>
    <r>
      <t xml:space="preserve">Vitor, Sergio e </t>
    </r>
    <r>
      <rPr>
        <b/>
        <sz val="11"/>
        <color theme="1"/>
        <rFont val="Century Gothic"/>
        <family val="2"/>
      </rPr>
      <t>Gabriel</t>
    </r>
    <r>
      <rPr>
        <sz val="11"/>
        <color theme="1"/>
        <rFont val="Century Gothic"/>
        <family val="2"/>
      </rPr>
      <t xml:space="preserve"> </t>
    </r>
  </si>
  <si>
    <r>
      <rPr>
        <b/>
        <sz val="11"/>
        <color theme="1"/>
        <rFont val="Century Gothic"/>
        <family val="2"/>
      </rPr>
      <t>Priscila,</t>
    </r>
    <r>
      <rPr>
        <sz val="11"/>
        <color theme="1"/>
        <rFont val="Century Gothic"/>
        <family val="2"/>
      </rPr>
      <t xml:space="preserve"> Bella e Ana Cris </t>
    </r>
  </si>
  <si>
    <r>
      <t xml:space="preserve">Bella, Le e </t>
    </r>
    <r>
      <rPr>
        <b/>
        <sz val="11"/>
        <color theme="1"/>
        <rFont val="Century Gothic"/>
        <family val="2"/>
      </rPr>
      <t>Gabriel</t>
    </r>
  </si>
  <si>
    <r>
      <t xml:space="preserve">Priscila e </t>
    </r>
    <r>
      <rPr>
        <b/>
        <sz val="11"/>
        <color theme="1"/>
        <rFont val="Century Gothic"/>
        <family val="2"/>
      </rPr>
      <t>Ana Cris</t>
    </r>
  </si>
  <si>
    <r>
      <rPr>
        <b/>
        <sz val="11"/>
        <color theme="1"/>
        <rFont val="Century Gothic"/>
        <family val="2"/>
      </rPr>
      <t>Vitor</t>
    </r>
    <r>
      <rPr>
        <sz val="11"/>
        <color theme="1"/>
        <rFont val="Century Gothic"/>
        <family val="2"/>
      </rPr>
      <t xml:space="preserve"> e Gabriel </t>
    </r>
  </si>
  <si>
    <r>
      <rPr>
        <sz val="11"/>
        <color theme="1"/>
        <rFont val="Century Gothic"/>
        <family val="2"/>
      </rPr>
      <t>Priscila</t>
    </r>
    <r>
      <rPr>
        <b/>
        <sz val="11"/>
        <color theme="1"/>
        <rFont val="Century Gothic"/>
        <family val="2"/>
      </rPr>
      <t xml:space="preserve"> </t>
    </r>
    <r>
      <rPr>
        <sz val="11"/>
        <color theme="1"/>
        <rFont val="Century Gothic"/>
        <family val="2"/>
      </rPr>
      <t xml:space="preserve">e </t>
    </r>
    <r>
      <rPr>
        <b/>
        <sz val="11"/>
        <color theme="1"/>
        <rFont val="Century Gothic"/>
        <family val="2"/>
      </rPr>
      <t>Ana Cris</t>
    </r>
  </si>
  <si>
    <r>
      <rPr>
        <b/>
        <sz val="11"/>
        <color theme="1"/>
        <rFont val="Century Gothic"/>
        <family val="2"/>
      </rPr>
      <t xml:space="preserve">Vitor, </t>
    </r>
    <r>
      <rPr>
        <sz val="11"/>
        <color theme="1"/>
        <rFont val="Century Gothic"/>
        <family val="2"/>
      </rPr>
      <t>Bella e Thiago</t>
    </r>
  </si>
  <si>
    <r>
      <rPr>
        <b/>
        <sz val="11"/>
        <color theme="1"/>
        <rFont val="Century Gothic"/>
        <family val="2"/>
      </rPr>
      <t>Priscila</t>
    </r>
    <r>
      <rPr>
        <sz val="11"/>
        <color theme="1"/>
        <rFont val="Century Gothic"/>
        <family val="2"/>
      </rPr>
      <t xml:space="preserve"> </t>
    </r>
    <r>
      <rPr>
        <sz val="11"/>
        <color theme="1"/>
        <rFont val="Century Gothic"/>
        <family val="2"/>
      </rPr>
      <t>e Ana Cris</t>
    </r>
  </si>
  <si>
    <r>
      <rPr>
        <b/>
        <sz val="11"/>
        <color theme="1"/>
        <rFont val="Century Gothic"/>
        <family val="2"/>
      </rPr>
      <t>Vitor</t>
    </r>
    <r>
      <rPr>
        <sz val="11"/>
        <color theme="1"/>
        <rFont val="Century Gothic"/>
        <family val="2"/>
      </rPr>
      <t>, Thiago Mariano</t>
    </r>
  </si>
  <si>
    <r>
      <rPr>
        <b/>
        <sz val="11"/>
        <color theme="1"/>
        <rFont val="Century Gothic"/>
        <family val="2"/>
      </rPr>
      <t xml:space="preserve">Priscila, </t>
    </r>
    <r>
      <rPr>
        <sz val="11"/>
        <color theme="1"/>
        <rFont val="Century Gothic"/>
        <family val="2"/>
      </rPr>
      <t>Sergio e Ana Cris</t>
    </r>
  </si>
  <si>
    <r>
      <rPr>
        <b/>
        <sz val="11"/>
        <color theme="1"/>
        <rFont val="Century Gothic"/>
        <family val="2"/>
      </rPr>
      <t xml:space="preserve">Priscila </t>
    </r>
    <r>
      <rPr>
        <sz val="11"/>
        <color theme="1"/>
        <rFont val="Century Gothic"/>
        <family val="2"/>
      </rPr>
      <t>e Vitor</t>
    </r>
  </si>
  <si>
    <r>
      <rPr>
        <b/>
        <sz val="11"/>
        <color theme="1"/>
        <rFont val="Century Gothic"/>
        <family val="2"/>
      </rPr>
      <t>Gabriel</t>
    </r>
    <r>
      <rPr>
        <sz val="11"/>
        <color theme="1"/>
        <rFont val="Century Gothic"/>
        <family val="2"/>
      </rPr>
      <t>, Leticia e Ana Cris</t>
    </r>
  </si>
  <si>
    <r>
      <rPr>
        <b/>
        <sz val="11"/>
        <color theme="1"/>
        <rFont val="Century Gothic"/>
        <family val="2"/>
      </rPr>
      <t>Gabriel,</t>
    </r>
    <r>
      <rPr>
        <sz val="11"/>
        <color theme="1"/>
        <rFont val="Century Gothic"/>
        <family val="2"/>
      </rPr>
      <t xml:space="preserve"> </t>
    </r>
    <r>
      <rPr>
        <sz val="11"/>
        <color theme="1"/>
        <rFont val="Century Gothic"/>
        <family val="2"/>
      </rPr>
      <t>Leticia e Ana Cris</t>
    </r>
  </si>
  <si>
    <r>
      <t xml:space="preserve">Gabriel, </t>
    </r>
    <r>
      <rPr>
        <b/>
        <sz val="11"/>
        <color theme="1"/>
        <rFont val="Century Gothic"/>
        <family val="2"/>
      </rPr>
      <t xml:space="preserve">Bella </t>
    </r>
    <r>
      <rPr>
        <sz val="11"/>
        <color theme="1"/>
        <rFont val="Century Gothic"/>
        <family val="2"/>
      </rPr>
      <t>e Vitor</t>
    </r>
  </si>
  <si>
    <t>tiago.esteves@motiva.com.br</t>
  </si>
  <si>
    <t>Gerente Executivo de Desenvolvimento de Novos Negocios - Trilhos</t>
  </si>
  <si>
    <r>
      <rPr>
        <b/>
        <sz val="11"/>
        <color theme="1"/>
        <rFont val="Century Gothic"/>
        <family val="2"/>
      </rPr>
      <t>Vitor</t>
    </r>
    <r>
      <rPr>
        <sz val="11"/>
        <color theme="1"/>
        <rFont val="Century Gothic"/>
        <family val="2"/>
      </rPr>
      <t xml:space="preserve">, Sergio e Gabriel </t>
    </r>
  </si>
  <si>
    <r>
      <rPr>
        <b/>
        <sz val="11"/>
        <color theme="1"/>
        <rFont val="Century Gothic"/>
        <family val="2"/>
      </rPr>
      <t>Vitor</t>
    </r>
    <r>
      <rPr>
        <sz val="11"/>
        <color theme="1"/>
        <rFont val="Century Gothic"/>
        <family val="2"/>
      </rPr>
      <t xml:space="preserve"> e Priscila</t>
    </r>
  </si>
  <si>
    <r>
      <rPr>
        <sz val="11"/>
        <color theme="1"/>
        <rFont val="Century Gothic"/>
        <family val="2"/>
      </rPr>
      <t>Gabriel, Sergio</t>
    </r>
    <r>
      <rPr>
        <b/>
        <sz val="11"/>
        <color theme="1"/>
        <rFont val="Century Gothic"/>
        <family val="2"/>
      </rPr>
      <t xml:space="preserve"> </t>
    </r>
    <r>
      <rPr>
        <sz val="11"/>
        <color theme="1"/>
        <rFont val="Century Gothic"/>
        <family val="2"/>
      </rPr>
      <t>e</t>
    </r>
    <r>
      <rPr>
        <b/>
        <sz val="11"/>
        <color theme="1"/>
        <rFont val="Century Gothic"/>
        <family val="2"/>
      </rPr>
      <t xml:space="preserve"> Vitor</t>
    </r>
  </si>
  <si>
    <r>
      <t xml:space="preserve">Gabriel, </t>
    </r>
    <r>
      <rPr>
        <b/>
        <sz val="11"/>
        <color theme="1"/>
        <rFont val="Century Gothic"/>
        <family val="2"/>
      </rPr>
      <t xml:space="preserve">Bella </t>
    </r>
    <r>
      <rPr>
        <sz val="11"/>
        <color theme="1"/>
        <rFont val="Century Gothic"/>
        <family val="2"/>
      </rPr>
      <t>e</t>
    </r>
    <r>
      <rPr>
        <sz val="11"/>
        <color theme="1"/>
        <rFont val="Century Gothic"/>
        <family val="2"/>
      </rPr>
      <t xml:space="preserve"> Vitor</t>
    </r>
  </si>
  <si>
    <r>
      <rPr>
        <b/>
        <sz val="11"/>
        <color theme="1"/>
        <rFont val="Century Gothic"/>
        <family val="2"/>
      </rPr>
      <t>Vitor</t>
    </r>
    <r>
      <rPr>
        <sz val="11"/>
        <color theme="1"/>
        <rFont val="Century Gothic"/>
        <family val="2"/>
      </rPr>
      <t xml:space="preserve"> e Thiago</t>
    </r>
  </si>
  <si>
    <r>
      <rPr>
        <b/>
        <sz val="11"/>
        <color theme="1"/>
        <rFont val="Century Gothic"/>
        <family val="2"/>
      </rPr>
      <t>Gabriel</t>
    </r>
    <r>
      <rPr>
        <sz val="11"/>
        <color theme="1"/>
        <rFont val="Century Gothic"/>
        <family val="2"/>
      </rPr>
      <t xml:space="preserve"> e Ana Cris</t>
    </r>
  </si>
  <si>
    <t>Cleber Chinelato</t>
  </si>
  <si>
    <t>cleber.chinelato@motiva.com.br</t>
  </si>
  <si>
    <t>Gerente Executivo Soluções de Rodovias</t>
  </si>
  <si>
    <t>antonio.barros@motiva.com.br</t>
  </si>
  <si>
    <t>DIRETOR(A) UNIDADE NEGOCIO</t>
  </si>
  <si>
    <t>silvia.bressan@motiva.com.br</t>
  </si>
  <si>
    <t>DIRETORIA VLT</t>
  </si>
  <si>
    <t>juliana.auad@motiva.com.br</t>
  </si>
  <si>
    <t>DIRETORIA METRO BAHIA</t>
  </si>
  <si>
    <t>andre.costa@motiva.com.br</t>
  </si>
  <si>
    <t>“Era uma área que cada gestor fazia a sua gestão.”</t>
  </si>
  <si>
    <t>Gestão contratual descentralizada e não padronizada</t>
  </si>
  <si>
    <t>“Os coordenadores fazem medição só pro Mourão subir no sistema.”</t>
  </si>
  <si>
    <t>PMO absorve atividades operacionais de medição</t>
  </si>
  <si>
    <t>“Não tem muita formalização. Quando o grupo é pequeno, a gente vai trocando.”</t>
  </si>
  <si>
    <t>Acionamentos críticos sem fluxo formalizado</t>
  </si>
  <si>
    <t>“A gente ainda está avançando muito nessa questão de administração contratual... aqui a gente não tem.”</t>
  </si>
  <si>
    <t>Administração contratual sem estrutura dedicada madura</t>
  </si>
  <si>
    <t>“Nós ainda não temos uma padronização de RDO... cada gestor faz de um jeito.”</t>
  </si>
  <si>
    <t>Padronização insuficiente de registros de obra</t>
  </si>
  <si>
    <t>“Essas empresas só vão ver se conseguiram manter as metas quando fecha a medição no final do mês. Aí você já morreu.”</t>
  </si>
  <si>
    <t>Controle de produção tardio e reativo</t>
  </si>
  <si>
    <t>“O núcleo hoje é um centralizador de informações para reportar.”</t>
  </si>
  <si>
    <t>Núcleo percebido como centralizador de reports</t>
  </si>
  <si>
    <t>“Eles não têm muita interferência dentro da rotina, das nossas etapas FEL.”</t>
  </si>
  <si>
    <t>Baixa atuação do núcleo na rotina decisória</t>
  </si>
  <si>
    <t>“A gente vai ter uma fonte única da informação.”</t>
  </si>
  <si>
    <t>Ausência prévia de fonte única da verdade</t>
  </si>
  <si>
    <t>“A gente tem muito dependências... o PMO e tal de processos manuais.”</t>
  </si>
  <si>
    <t>Dependência de processos manuais no PMO</t>
  </si>
  <si>
    <t>“Pelo tamanho que era o núcleo de Capex, duas pessoas, três pessoas ali, não tinha muito braço para poder apoiar.”</t>
  </si>
  <si>
    <t>Capacidade insuficiente do núcleo de CAPEX</t>
  </si>
  <si>
    <t>“A dor deles hoje é tentar um mínimo de padronização ali entre as plataformas.”</t>
  </si>
  <si>
    <t>“Hoje é uma grande dor que a gente tem na organização, essa parte do ativo mobilizado.”</t>
  </si>
  <si>
    <t>Processo de imobilização de ativos ineficiente</t>
  </si>
  <si>
    <t>“Se o cara não abriu o projeto dentro do SAP de maneira bem estruturada, você não consegue imobilizá-lo.”</t>
  </si>
  <si>
    <t>Estrutura SAP inadequada para imobilização</t>
  </si>
  <si>
    <t>“Tem que dar foco, tem que ser fluxo, padronizar isso.”</t>
  </si>
  <si>
    <t>Processo crítico sem fluxo padronizado</t>
  </si>
  <si>
    <t>“Nem tudo está bem documentado.”</t>
  </si>
  <si>
    <t>Processos críticos sem documentação suficiente</t>
  </si>
  <si>
    <t>“A gente perde muita eficiência nessa integração.”</t>
  </si>
  <si>
    <t>Integração frágil entre civil e tecnologia</t>
  </si>
  <si>
    <t>“O fornecedor cobrando o pleito porque a parte da civil não está pronta.”</t>
  </si>
  <si>
    <t>Dependência civil-tecnologia gera pleitos contratuais</t>
  </si>
  <si>
    <t>“Na parte de processos, procedimento, criação de PEP, medição, isso tudo também é um parto de ouriço.”</t>
  </si>
  <si>
    <t>Processos administrativos de CAPEX excessivamente complexos</t>
  </si>
  <si>
    <t>“Resolveu centralizar essa mão de obra do administrativo... e a gente perdeu o foco.”</t>
  </si>
  <si>
    <t>Centralização administrativa retirou suporte técnico-operacional</t>
  </si>
  <si>
    <t>“Voltou a cobrar o time técnico novamente de passar o report.”</t>
  </si>
  <si>
    <t>Time técnico absorve rotinas administrativas indevidas</t>
  </si>
  <si>
    <t>“Eu sinto falta de algum KPI que sinalize os problemas de mobilização dos ativos.”</t>
  </si>
  <si>
    <t>Ausência de KPI crítico de imobilização</t>
  </si>
  <si>
    <t>“A saúde dos contratos... só vai descobrir na hora que vai fazer um pagamento e tá bloqueado no SAP.”</t>
  </si>
  <si>
    <t>Monitoramento contratual detecta falhas tardiamente</t>
  </si>
  <si>
    <t>“Acho que poderia ser mais eficiente esse escalonamento de reuniões. Não precisaria ser tantas.”</t>
  </si>
  <si>
    <t>Excesso de ritos de reporte e escalonamento</t>
  </si>
  <si>
    <t>“Precisa aplicar mais e ser mais rápido.”</t>
  </si>
  <si>
    <t>Baixa velocidade de implantação de melhorias</t>
  </si>
  <si>
    <t>“Esse movimento tem que ficar bastante melhor apresentado.”</t>
  </si>
  <si>
    <t>Business cases tecnológicos pouco estruturados</t>
  </si>
  <si>
    <t>“Tenho dificuldade de mobilizar alguns profissionais.”</t>
  </si>
  <si>
    <t>Capacidade insuficiente para frentes tático-estratégicas</t>
  </si>
  <si>
    <t>“A base de salário mostra... não é tão adequada para mercado.”</t>
  </si>
  <si>
    <t>Remuneração desalinhada reduz atração e retenção</t>
  </si>
  <si>
    <t>“A gente faz projeto igual Tabajara.”</t>
  </si>
  <si>
    <t>Qualidade insuficiente no desenvolvimento de projetos</t>
  </si>
  <si>
    <t>“Projeto funcional... é fadada a fracasso.”</t>
  </si>
  <si>
    <t>Contratação com escopo imaturo e incompleto</t>
  </si>
  <si>
    <t>Estratégia de contratação</t>
  </si>
  <si>
    <t>“Uma enxurrada de negro pleiteando... empresa quebrando.”</t>
  </si>
  <si>
    <t>Escopo mal definido eleva pleitos e ruptura contratual</t>
  </si>
  <si>
    <t>“A gente está insistindo no erro.”</t>
  </si>
  <si>
    <t>Aprendizados não são incorporados ao modelo</t>
  </si>
  <si>
    <t>“A inclusão de um novo investimento, ela é uma governança bem complexa.”</t>
  </si>
  <si>
    <t>Governança de novos investimentos excessivamente complexa</t>
  </si>
  <si>
    <t>“A gente sofre um pouco com o material que eu... tenho para trabalhar para levar esse adicional para o poder público.”</t>
  </si>
  <si>
    <t>Insumos técnicos insuficientes para pleitos regulatórios</t>
  </si>
  <si>
    <t>“Tem que ser muito bem instruído, com cotação de preços...”</t>
  </si>
  <si>
    <t>Pleitos regulatórios sem padronização de instrução</t>
  </si>
  <si>
    <t>“Já vi aqui se fazia mais do que o edital.”</t>
  </si>
  <si>
    <t>Execução acima do escopo contratual autorizado</t>
  </si>
  <si>
    <t>“Isso te leva a um sobrecusto que eu não vou conseguir cobrar.”</t>
  </si>
  <si>
    <t>Escopo excedente gera sobrecusto não recuperável</t>
  </si>
  <si>
    <t>“A execução da obra acaba indo para baixo da estrutura do gerente executivo da unidade.”</t>
  </si>
  <si>
    <t>Handoff entre planejamento e execução fragmenta controle</t>
  </si>
  <si>
    <t>“O ponto sensível é quando... entrega para a unidade executar o investimento.”</t>
  </si>
  <si>
    <t>Perda de controle técnico na passagem à unidade</t>
  </si>
  <si>
    <t>“Se você não tiver um controle muito bem... perdeu uma semana e a gente está falando de milhões.”</t>
  </si>
  <si>
    <t>Controle de execução insuficientemente frequente</t>
  </si>
  <si>
    <t>“A minha interface com ela é muito baixa assim.”</t>
  </si>
  <si>
    <t>Baixa interface direta entre área crítica e núcleo</t>
  </si>
  <si>
    <t>Entrevista da Josiane foi omitida da consolidação</t>
  </si>
  <si>
    <t>total_ocorrencias_impacto</t>
  </si>
  <si>
    <t>total_ocorrencias_recorentes</t>
  </si>
  <si>
    <t>Geral</t>
  </si>
  <si>
    <t>“Não há uma interface muito... com finanças.”</t>
  </si>
  <si>
    <t>Interface finanças-engenharia é insuficiente</t>
  </si>
  <si>
    <t>“A gente tem que estar muito junto para fazer orçamento, fazer acompanhamento.”</t>
  </si>
  <si>
    <t>Orçamento e acompanhamento não são integrados</t>
  </si>
  <si>
    <t>“O próprio processo de medição e pagamento, as coisas ainda são soltas.”</t>
  </si>
  <si>
    <t>Processo de medição e pagamento é desestruturado</t>
  </si>
  <si>
    <t>“Muita coisa, a engenharia... traz uma informação muito fechada. Ela não abre.”</t>
  </si>
  <si>
    <t>Informação de engenharia é pouco transparente</t>
  </si>
  <si>
    <t>“Eu deveria ter... um Masterplan do Capex.”</t>
  </si>
  <si>
    <t>Ausência de masterplan consolidado de CAPEX</t>
  </si>
  <si>
    <t>“Tem problemas de caixa.”</t>
  </si>
  <si>
    <t>Planejamento de desembolso é insuficiente</t>
  </si>
  <si>
    <t>“Talvez o nosso time aqui... precise de um financeiro forte para trocar com eles.”</t>
  </si>
  <si>
    <t>Capacidade financeira dedicada à implantação é insuficiente</t>
  </si>
  <si>
    <t>“Cadê o rito de aprovação aqui?... nós não temos isso.”</t>
  </si>
  <si>
    <t>Ritos de aprovação não estão formalizados</t>
  </si>
  <si>
    <t>“Normalmente a galera não dá bola para isso, faz para cumprir a tabela e segue a vida.”</t>
  </si>
  <si>
    <t>Processos são tratados como rito formal sem efetividade</t>
  </si>
  <si>
    <t>“Como é que a gente acompanha essa execução... a gente está tendo que entrar no micro.”</t>
  </si>
  <si>
    <t>Controle executivo exige atuação excessivamente micro</t>
  </si>
  <si>
    <t>“Eu participo sim do pré-bid, mas... de uma forma lateral.”</t>
  </si>
  <si>
    <t>Interface comercial entra lateralmente no pré-bid</t>
  </si>
  <si>
    <t>“Eu vou dando os insumos... mas não sou responsável pelo pré-BID de um leilão.”</t>
  </si>
  <si>
    <t>Contribuições de valor não estão ancoradas em responsabilidade formal</t>
  </si>
  <si>
    <t>“A minha única nota é tratar igual o que é igual e diferente do que é diferente.”</t>
  </si>
  <si>
    <t>Governança não diferencia investimentos por porte</t>
  </si>
  <si>
    <t>“O fluxo não pode ser o mesmo... queria fazer uma rodovia inteira, custa 5 bilhões de reais.”</t>
  </si>
  <si>
    <t>Fluxos de aprovação não são segmentados por complexidade</t>
  </si>
  <si>
    <t>“A gente tem que ser muito mais ágil nas pequenas obras, nas pequenas criações de valor.”</t>
  </si>
  <si>
    <t>Pequenos investimentos seguem rito excessivamente pesado</t>
  </si>
  <si>
    <t>“Hoje é um dos problemas da Motiva em tudo é. Como ela é engessada?”</t>
  </si>
  <si>
    <t>Governança corporativa é excessivamente engessada</t>
  </si>
  <si>
    <t>“Alguns cenários são um pouco mais caros de capex... com talvez uma contrapartida maior de receita.”</t>
  </si>
  <si>
    <t>Avaliação de CAPEX não integra cenários de receita</t>
  </si>
  <si>
    <t>“Eu posso ter um vidro... muito melhor do ponto de vista de capex... mas que ele vai-me dar um opex brutal.”</t>
  </si>
  <si>
    <t>Decisão de investimento não considera custo total</t>
  </si>
  <si>
    <t>“O capex por si só não é o fim último.”</t>
  </si>
  <si>
    <t>Decisão de investimento desconsidera visão de ciclo de vida</t>
  </si>
  <si>
    <t>Nível 1 — Evidência Literal</t>
  </si>
  <si>
    <t>Gerente Executivo Empreedimentos e PMO - Projetos Técnicos (L4)</t>
  </si>
  <si>
    <t>guilherme.tellis@motiva.com.br</t>
  </si>
  <si>
    <t>Especialista de PMO</t>
  </si>
  <si>
    <t>joao.pita@motiva.com.br</t>
  </si>
  <si>
    <t>Tiago Terra Esteves</t>
  </si>
  <si>
    <r>
      <rPr>
        <b/>
        <sz val="11"/>
        <color theme="1"/>
        <rFont val="Century Gothic"/>
        <family val="2"/>
      </rPr>
      <t>Bella</t>
    </r>
    <r>
      <rPr>
        <sz val="11"/>
        <color theme="1"/>
        <rFont val="Century Gothic"/>
        <family val="2"/>
      </rPr>
      <t>, Leticia e Ana Cris</t>
    </r>
  </si>
  <si>
    <r>
      <rPr>
        <b/>
        <sz val="11"/>
        <color theme="1"/>
        <rFont val="Century Gothic"/>
        <family val="2"/>
      </rPr>
      <t>Sérgio</t>
    </r>
    <r>
      <rPr>
        <sz val="11"/>
        <color theme="1"/>
        <rFont val="Century Gothic"/>
        <family val="2"/>
      </rPr>
      <t xml:space="preserve"> e Ana Cris</t>
    </r>
  </si>
  <si>
    <r>
      <rPr>
        <b/>
        <sz val="11"/>
        <color theme="1"/>
        <rFont val="Century Gothic"/>
        <family val="2"/>
      </rPr>
      <t xml:space="preserve">Gabriel </t>
    </r>
    <r>
      <rPr>
        <sz val="11"/>
        <color theme="1"/>
        <rFont val="Century Gothic"/>
        <family val="2"/>
      </rPr>
      <t xml:space="preserve">e Ana Cris </t>
    </r>
  </si>
  <si>
    <r>
      <rPr>
        <b/>
        <sz val="11"/>
        <color theme="1"/>
        <rFont val="Century Gothic"/>
        <family val="2"/>
      </rPr>
      <t xml:space="preserve">Vitor </t>
    </r>
    <r>
      <rPr>
        <sz val="11"/>
        <color theme="1"/>
        <rFont val="Century Gothic"/>
        <family val="2"/>
      </rPr>
      <t>e Lê</t>
    </r>
  </si>
  <si>
    <t>SOLUCOES RODOVIAS</t>
  </si>
  <si>
    <r>
      <t>Bella</t>
    </r>
    <r>
      <rPr>
        <b/>
        <sz val="11"/>
        <color rgb="FFC00000"/>
        <rFont val="Century Gothic"/>
        <family val="2"/>
      </rPr>
      <t xml:space="preserve">, </t>
    </r>
    <r>
      <rPr>
        <sz val="11"/>
        <color rgb="FFC00000"/>
        <rFont val="Century Gothic"/>
        <family val="2"/>
      </rPr>
      <t xml:space="preserve">Le e </t>
    </r>
    <r>
      <rPr>
        <b/>
        <sz val="11"/>
        <color rgb="FFC00000"/>
        <rFont val="Century Gothic"/>
        <family val="2"/>
      </rPr>
      <t>Vitor</t>
    </r>
  </si>
  <si>
    <t>Bella, Vitor  e Le</t>
  </si>
  <si>
    <r>
      <rPr>
        <b/>
        <sz val="11"/>
        <color theme="1"/>
        <rFont val="Century Gothic"/>
        <family val="2"/>
      </rPr>
      <t xml:space="preserve">Pri </t>
    </r>
    <r>
      <rPr>
        <sz val="11"/>
        <color theme="1"/>
        <rFont val="Century Gothic"/>
        <family val="2"/>
      </rPr>
      <t>e Ana Cris</t>
    </r>
  </si>
  <si>
    <r>
      <rPr>
        <b/>
        <sz val="11"/>
        <color theme="1"/>
        <rFont val="Century Gothic"/>
        <family val="2"/>
      </rPr>
      <t xml:space="preserve">Bella, </t>
    </r>
    <r>
      <rPr>
        <sz val="11"/>
        <color theme="1"/>
        <rFont val="Century Gothic"/>
        <family val="2"/>
      </rPr>
      <t>Ana Cris e Lê</t>
    </r>
  </si>
  <si>
    <r>
      <rPr>
        <b/>
        <sz val="11"/>
        <color theme="1"/>
        <rFont val="Century Gothic"/>
        <family val="2"/>
      </rPr>
      <t>Pri,</t>
    </r>
    <r>
      <rPr>
        <sz val="11"/>
        <color theme="1"/>
        <rFont val="Century Gothic"/>
        <family val="2"/>
      </rPr>
      <t xml:space="preserve"> Gabriel e Sergio</t>
    </r>
  </si>
  <si>
    <r>
      <rPr>
        <b/>
        <sz val="11"/>
        <color theme="1"/>
        <rFont val="Century Gothic"/>
        <family val="2"/>
      </rPr>
      <t xml:space="preserve">Vitor, </t>
    </r>
    <r>
      <rPr>
        <sz val="11"/>
        <color theme="1"/>
        <rFont val="Century Gothic"/>
        <family val="2"/>
      </rPr>
      <t>Bella e Guilherme</t>
    </r>
  </si>
  <si>
    <t>Thiago</t>
  </si>
  <si>
    <t>Rodrigo Luiz Correia</t>
  </si>
  <si>
    <t>rodrigo.lcorrea@motiva.com.br</t>
  </si>
  <si>
    <t>Gerente Planejamento Logistico</t>
  </si>
  <si>
    <t>Juliana de Freitas</t>
  </si>
  <si>
    <t>juliana.freitas@motiva.com.br</t>
  </si>
  <si>
    <t>Especialista Projetos e Processos</t>
  </si>
  <si>
    <t>Vinicius Norberto</t>
  </si>
  <si>
    <t>vinicius.norberto@motiva.com.br</t>
  </si>
  <si>
    <t>Parceiro de Negócios</t>
  </si>
  <si>
    <t>Especialista de Dados e Pessoas</t>
  </si>
  <si>
    <t>Fabio Mota</t>
  </si>
  <si>
    <t>fabio.mota@motiva.com.br</t>
  </si>
  <si>
    <t>Eslon Sousa</t>
  </si>
  <si>
    <t>Especialista Tecnologia e Digital</t>
  </si>
  <si>
    <t>juliana.criscoulo@motiva.com.br</t>
  </si>
  <si>
    <t>*surgiu após mapeamento de interfaces</t>
  </si>
  <si>
    <t>Luciana Bugno Alves de Araujo</t>
  </si>
  <si>
    <t>luciana.bugno@motiva.com.br</t>
  </si>
  <si>
    <t>Consultora de Riscos</t>
  </si>
  <si>
    <t>igor.camillo@motiva.com.br</t>
  </si>
  <si>
    <t>MOTIVA DIVISAO MOBILIDADE - ADMINISTRACAO E FINANC</t>
  </si>
  <si>
    <t>GERENTE EXECUTIVO(A) PLANEJAMENTO E GESTAO FINA</t>
  </si>
  <si>
    <t xml:space="preserve">Homero Cardoso </t>
  </si>
  <si>
    <t>homero.cardoso@motiva.com.br</t>
  </si>
  <si>
    <t>Gerente Engenharia de Implantação Civil</t>
  </si>
  <si>
    <t>Milton Giova</t>
  </si>
  <si>
    <t>milton.giova@motiva.com.br</t>
  </si>
  <si>
    <t>Diretor de Operações</t>
  </si>
  <si>
    <t xml:space="preserve">Antonio Marcio Barros Silva </t>
  </si>
  <si>
    <t>DIRETORIA VIAQUATRO E VIAMOBILIDADE</t>
  </si>
  <si>
    <t xml:space="preserve">Silvia da Silveira Bressan </t>
  </si>
  <si>
    <t>Juliana Romão Romero Auad</t>
  </si>
  <si>
    <t xml:space="preserve">Andre Luis Pereira Costa </t>
  </si>
  <si>
    <t>DIRETORIA VM 8 E 9</t>
  </si>
  <si>
    <t>Jaderson Coelho Jacintho</t>
  </si>
  <si>
    <t>Entrevista</t>
  </si>
  <si>
    <t>Coleta de Dados</t>
  </si>
  <si>
    <t>Aprofundamento</t>
  </si>
  <si>
    <t>PMO - Demais Empreendimentos</t>
  </si>
  <si>
    <t>Jean Carlos Bonin da Silva - A</t>
  </si>
  <si>
    <t>Lucas Giraldi Rapchan Aguilar - A</t>
  </si>
  <si>
    <t>Guilherme Tellis - A</t>
  </si>
  <si>
    <t>Tiago Terra Esteves - A</t>
  </si>
  <si>
    <t>Vinicius Vancellote - A</t>
  </si>
  <si>
    <t>Analista</t>
  </si>
  <si>
    <t>“Eu consolido as informações e faço material do comitê de CAPEX.”</t>
  </si>
  <si>
    <t>Núcleo atua como consolidador de reporte</t>
  </si>
  <si>
    <t>“Na época, como era só do planejamento financeiro, era mais um receba a informação, consolide, foda-se se está certo, se está errado.”</t>
  </si>
  <si>
    <t>Consolidação ocorria sem validação crítica</t>
  </si>
  <si>
    <t>“Eles têm muito de, olha, a coleguinha lá de frotas não está falando comigo... fico numa chamada por três horas pra gente construir informação todo santo mês.”</t>
  </si>
  <si>
    <t>Integração interáreas depende de articulação manual</t>
  </si>
  <si>
    <t>“Eu tenho toda hora que ficar... relembrando.”</t>
  </si>
  <si>
    <t>Papéis e rotinas não estão internalizados</t>
  </si>
  <si>
    <t>“Eles estavam reportando... que estavam com meta zero. Eles não sabiam explicar porquê.”</t>
  </si>
  <si>
    <t>Reporte ocorre com base informacional inconsistente</t>
  </si>
  <si>
    <t>“Isso não me diz nada, eu não consigo apurar nada.”</t>
  </si>
  <si>
    <t>Dados recebidos não permitem análise crítica</t>
  </si>
  <si>
    <t>“Eles queriam que eu tratasse a informação... essa não é responsabilidade minha.”</t>
  </si>
  <si>
    <t>Dono da informação não trata sua base</t>
  </si>
  <si>
    <t>“Na minha equipe, no núcleo de CAPEX, ninguém tem acesso. Só eu tenho acesso.”</t>
  </si>
  <si>
    <t>Acesso crítico concentrado em uma pessoa</t>
  </si>
  <si>
    <t>“Essa transação também não é perfeita... ela tem uma série de pontos que podem ser melhorados.”</t>
  </si>
  <si>
    <t>Ferramenta de análise financeira é limitada</t>
  </si>
  <si>
    <t>“Em rodovias... eles nunca conseguem chegar na informação.”</t>
  </si>
  <si>
    <t>Processo financeiro não fecha de forma confiável</t>
  </si>
  <si>
    <t>“A gente teve que remarcar esse mês, porque eles não chegavam no financeiro, não conseguiam explicar.”</t>
  </si>
  <si>
    <t>Inconsistência financeira afeta rito decisório</t>
  </si>
  <si>
    <t>“Eu não consigo chegar na fonte do problema.”</t>
  </si>
  <si>
    <t>Causa raiz não é rastreável</t>
  </si>
  <si>
    <t>“É mais sobre brigar com as engenharias.”</t>
  </si>
  <si>
    <t>Relação núcleo-engenharias é conflituosa</t>
  </si>
  <si>
    <t>“As engenharias não conversam.”</t>
  </si>
  <si>
    <t>Engenharias operam com baixa integração</t>
  </si>
  <si>
    <t>Consultora / PMO</t>
  </si>
  <si>
    <t>“Nunca... foi feito.”</t>
  </si>
  <si>
    <t>Não existe régua corporativa de maturidade</t>
  </si>
  <si>
    <t>“Cada um chama o que quer, com a metodologia que quer, e a gente acaba não tendo comparação.”</t>
  </si>
  <si>
    <t>Metodologias de avaliação não são comparáveis</t>
  </si>
  <si>
    <t>“Eu sinto mais falta de uma área direcionadora... de um top-down mesmo de processo padrão.”</t>
  </si>
  <si>
    <t>Falta direção corporativa de processos CAPEX</t>
  </si>
  <si>
    <t>“Se você não tem isso, acaba cada um fazendo do seu jeito.”</t>
  </si>
  <si>
    <t>Ausência de padrão gera variação local</t>
  </si>
  <si>
    <t>“A única governança que a gente tem hoje, assim, padrão, é o comitê de CAPEX.”</t>
  </si>
  <si>
    <t>Governança padrão está restrita ao comitê</t>
  </si>
  <si>
    <t>“O núcleo só olha o comitê de CAPEX e olha dashs... e a gente tira conclusões por números.”</t>
  </si>
  <si>
    <t>Núcleo opera distante do contexto operacional</t>
  </si>
  <si>
    <t>“Mas não era recorrente, eu tinha que ir, gente, vocês não me colocaram.”</t>
  </si>
  <si>
    <t>Núcleo não participa recorrentemente dos fóruns</t>
  </si>
  <si>
    <t>“O Valdo foi pego de surpresa várias vezes, como a gente também foi pego de surpresa.”</t>
  </si>
  <si>
    <t>Governança falha em antecipar desvios críticos</t>
  </si>
  <si>
    <t>“Aquele assunto nunca tinha vindo. Então, assim, gente, nunca veio. E nunca veio por quê? Porque a galera não quis passar.”</t>
  </si>
  <si>
    <t>Escalada de temas críticos é voluntária</t>
  </si>
  <si>
    <t>“Eu sinto um pouco de falta dessa definição mesmo de clareza. Qual que é o mandato? Qual que é o mandato do núcleo?”</t>
  </si>
  <si>
    <t>Mandato do núcleo não está claro</t>
  </si>
  <si>
    <t>“Todo mundo fazia planilha de Excel.”</t>
  </si>
  <si>
    <t>Processo dependia de planilhas paralelas</t>
  </si>
  <si>
    <t>“Cada coisinha que a gente coloca é pior... a gente quer reduzir. E aí, como que a gente vai reduzir sempre que a gente está trazendo mais processo?”</t>
  </si>
  <si>
    <t>Desenho de processo pode onerar a ponta</t>
  </si>
  <si>
    <t>“Se essa ferramenta é de prateleira, ela me traz indicador. E não me onerar o processo.”</t>
  </si>
  <si>
    <t>Solução tecnológica precisa preservar eficiência operacional</t>
  </si>
  <si>
    <t>“A gente vai deixar de ser competitivo.”</t>
  </si>
  <si>
    <t>Excesso de processo ameaça competitividade operacional</t>
  </si>
  <si>
    <t>“No termômetro agora a gente não está sendo envolvido.”</t>
  </si>
  <si>
    <t>Área impactada não participa do desenho sistêmico</t>
  </si>
  <si>
    <t>“O processo de medição, ele é terrível.”</t>
  </si>
  <si>
    <t>Processo de medição é excessivamente complexo</t>
  </si>
  <si>
    <t>“Todo mundo fica mandando mensagem... tá todo mundo sentindo um gargalo na última hora.”</t>
  </si>
  <si>
    <t>Aprovações concentram gargalo no fechamento</t>
  </si>
  <si>
    <t>“Cada área se organiza de uma maneira diferente... não tem um padrão.”</t>
  </si>
  <si>
    <t>Processo de medição sem padrão transversal</t>
  </si>
  <si>
    <t>“A medição é outra pessoa que vai aprovar, então assim, isso também você perde todo o histórico.”</t>
  </si>
  <si>
    <t>Aprovação dissociada perde histórico do contrato</t>
  </si>
  <si>
    <t>“Eu posso nem saber o que está acontecendo ali dentro, nem saber se o escopo é exatamente aquele contratado.”</t>
  </si>
  <si>
    <t>Aprovador não tem visão plena do escopo</t>
  </si>
  <si>
    <t>“Quem operacionaliza isso é um trabalho cruel.”</t>
  </si>
  <si>
    <t>Operacionalização da medição é excessivamente onerosa</t>
  </si>
  <si>
    <t>“Nós não temos pessoas administrativas, nós temos pessoas técnicas. E esse técnico perde horas preciosas para fazer trabalho administrativo.”</t>
  </si>
  <si>
    <t>Técnicos absorvem rotinas administrativas indevidas</t>
  </si>
  <si>
    <t>“A gente precisa automatizar isso, precisa tornar isso mais simples.”</t>
  </si>
  <si>
    <t>Processo administrativo não foi automatizado</t>
  </si>
  <si>
    <t>“Muito processo foi, ao longo desses anos, passando para os técnicos.”</t>
  </si>
  <si>
    <t>CSC e suporte transferiram carga à ponta técnica</t>
  </si>
  <si>
    <t>“Essa estruturação do PEP... é extremamente importante.”</t>
  </si>
  <si>
    <t>Estruturação de PEP não é tratada antecipadamente</t>
  </si>
  <si>
    <t>“Se não ativou... é como se você estivesse executando, mas não estivesse ativando como patrimônio.”</t>
  </si>
  <si>
    <t>Ativação patrimonial ocorre tardiamente</t>
  </si>
  <si>
    <t>“Esse pra mim é um dos itens aí, segundo lugar, depois de medição, que tem complexidade.”</t>
  </si>
  <si>
    <t>Processo de ativação é criticidade subtratada</t>
  </si>
  <si>
    <t>“Ninguém falou disso, ninguém nunca.”</t>
  </si>
  <si>
    <t>Tema crítico não entra na governança</t>
  </si>
  <si>
    <t>Executivo (VP)</t>
  </si>
  <si>
    <t>“Eu não tenho estabelecido ainda essa governança… as iniciativas estão dispersas e cada um partindo para o seu lado.”</t>
  </si>
  <si>
    <t>Iniciativas estratégicas descentralizadas e sem governança integrada</t>
  </si>
  <si>
    <t>“Se o Miguel chegar… quanto a gente investe em inovação… eu não sei.”</t>
  </si>
  <si>
    <t>Ausência de visibilidade consolidada de investimentos</t>
  </si>
  <si>
    <t>“Nem o que está no Aevo tem número direito.”</t>
  </si>
  <si>
    <t>Ferramentas não suportam controle confiável de portfólio</t>
  </si>
  <si>
    <t>“Os projetos deviam estar lá… eu devia ter um inventário.”</t>
  </si>
  <si>
    <t>Ausência de inventário único de iniciativas</t>
  </si>
  <si>
    <t>“Cada área está pensando na sua inovação… ninguém vê o conjunto.”</t>
  </si>
  <si>
    <t>Inovação fragmentada por áreas sem visão sistêmica</t>
  </si>
  <si>
    <t>Governança técnica e engenharia</t>
  </si>
  <si>
    <t>“Tem que ter um arquiteto… não existe hoje.”</t>
  </si>
  <si>
    <t>Falta papel central de orquestração estratégica</t>
  </si>
  <si>
    <t>“A inovação não é digital… está misturada e não organizada.”</t>
  </si>
  <si>
    <t>Falta clareza conceitual e organizacional de inovação</t>
  </si>
  <si>
    <t>“Tem muita coisa fora… o que você não mede você não entende.”</t>
  </si>
  <si>
    <t>Baixa cobertura de dados e rastreabilidade</t>
  </si>
  <si>
    <t>“O maior risco que a gente tem é CAPEX.”</t>
  </si>
  <si>
    <t>Gestão de CAPEX não estruturada frente à criticidade estratégica</t>
  </si>
  <si>
    <t>“A empresa hoje é uma grande gestora de CAPEX.”</t>
  </si>
  <si>
    <t>Modelo operacional depende de excelência em CAPEX não estruturada</t>
  </si>
  <si>
    <t>“O processo decisório precisa ser vivo… hoje ele trava velocidade.”</t>
  </si>
  <si>
    <t>Governança reduz velocidade de decisão</t>
  </si>
  <si>
    <t>“Temos um legado ainda para limpar… muitos sistemas redundantes.”</t>
  </si>
  <si>
    <t>Arquitetura de sistemas fragmentada e redundante</t>
  </si>
  <si>
    <t>“Ainda é muita gente… muita ineficiência.”</t>
  </si>
  <si>
    <t>Estrutura organizacional inflada e ineficiente</t>
  </si>
  <si>
    <t>“Os dados não são conectados… bid não é retroalimentado.”</t>
  </si>
  <si>
    <t>Falta integração entre execução e estimativas</t>
  </si>
  <si>
    <t>Integração pré-bid e originação</t>
  </si>
  <si>
    <t>“Tudo isso precisa estar conectado… sistemas, BIM, ERP.”</t>
  </si>
  <si>
    <t>Falta backbone tecnológico integrado</t>
  </si>
  <si>
    <t>“Eu cuido de todos os investimentos… tenho que explicar custo e prazo.”</t>
  </si>
  <si>
    <t>Alta dependência de gestão individualizada</t>
  </si>
  <si>
    <t>“Eu geralmente vou sozinho… é muita informação em pouco tempo.”</t>
  </si>
  <si>
    <t>Capacidade insuficiente para demandas estratégicas</t>
  </si>
  <si>
    <t>“A interface é com todos… não tem como fazer nada sozinho.”</t>
  </si>
  <si>
    <t>Alto grau de dependência de interfaces</t>
  </si>
  <si>
    <t>“Eu não converso com todo mundo… falo com a integradora.”</t>
  </si>
  <si>
    <t>Dependência de intermediários na gestão</t>
  </si>
  <si>
    <t>“Cada obra tinha RDO diferente… não tem padrão.”</t>
  </si>
  <si>
    <t>Ausência de padronização operacional</t>
  </si>
  <si>
    <t>“A gente está avançando para padronizar… mas não está pronto.”</t>
  </si>
  <si>
    <t>Padronização ainda incompleta</t>
  </si>
  <si>
    <t>“Não temos sistema específico para pleitos.”</t>
  </si>
  <si>
    <t>Gestão de pleitos não sistematizada</t>
  </si>
  <si>
    <t>“Cada um exerce sua forma… não existe padrão.”</t>
  </si>
  <si>
    <t>Execução varia conforme responsável</t>
  </si>
  <si>
    <t>“O sistema matricial… garante governança, mas perde velocidade.”</t>
  </si>
  <si>
    <t>Trade-off estrutural entre governança e agilidade</t>
  </si>
  <si>
    <t>“O sistema é feito para travar… não para ser eficiente.”</t>
  </si>
  <si>
    <t>Processos desenhados para controle e não eficiência</t>
  </si>
  <si>
    <t>“Um assunto que levaria 1 dia leva 15.”</t>
  </si>
  <si>
    <t>Tempo de decisão excessivo</t>
  </si>
  <si>
    <t>“Muita apresentação… cada um quer de um jeito.”</t>
  </si>
  <si>
    <t>Esforço elevado em reportes customizados</t>
  </si>
  <si>
    <t>“Tenho gente só para fazer PowerPoint.”</t>
  </si>
  <si>
    <t>Uso ineficiente de mão de obra qualificada</t>
  </si>
  <si>
    <t>Cultura e modelo organizacional</t>
  </si>
  <si>
    <t>Cultura e Modelo Organizacional</t>
  </si>
  <si>
    <t>“Processo matricial exige muito HH.”</t>
  </si>
  <si>
    <t>Estrutura demanda excesso de esforço operacional</t>
  </si>
  <si>
    <t>“Os prazos precisam ser reavaliados.”</t>
  </si>
  <si>
    <t>Planejamento não reflete complexidade real</t>
  </si>
  <si>
    <t>Planejamento integrado</t>
  </si>
  <si>
    <t>“Eu senti muita falta de ter pessoas olhando, pessoas com conhecimento técnico, olhando os nossos estudos de fato.”</t>
  </si>
  <si>
    <t>Falta capacidade técnica para revisão de estudos econômicos</t>
  </si>
  <si>
    <t>“A gente não tem uma metodologia única na empresa.”</t>
  </si>
  <si>
    <t>Ausência de metodologia única de apuração financeira</t>
  </si>
  <si>
    <t>“Rodovias trata de um jeito, trilhos de outro.”</t>
  </si>
  <si>
    <t>Metodologias divergentes entre plataformas</t>
  </si>
  <si>
    <t>“Cada um tomou a sua decisão de como fazer.”</t>
  </si>
  <si>
    <t>Decisões metodológicas descentralizadas sem governança</t>
  </si>
  <si>
    <t>“As metodologias que eles foram construídas são frágeis.”</t>
  </si>
  <si>
    <t>Business cases são construídos com metodologia frágil</t>
  </si>
  <si>
    <t>“Projetos que você tem um VPL apontado lá com muita fragilidade.”</t>
  </si>
  <si>
    <t>Indicadores financeiros de aprovação são pouco robustos</t>
  </si>
  <si>
    <t>“O interessado no projeto é a própria pessoa que aprova o modelo.”</t>
  </si>
  <si>
    <t>Aprovador do projeto participa da construção do business case</t>
  </si>
  <si>
    <t>“Não existe um fluxo de aprovação do ponto do viés financeiro.”</t>
  </si>
  <si>
    <t>Não há fluxo formal de validação financeira</t>
  </si>
  <si>
    <t>“A gente está encontrando muita fragilidade nesse processo.”</t>
  </si>
  <si>
    <t>Processo de aprovação financeira é frágil</t>
  </si>
  <si>
    <t>“A diferença de um fornecedor que é mais barato que o outro e falar que aquilo é o ganho do projeto.”</t>
  </si>
  <si>
    <t>Ganhos de projeto são calculados com premissas inadequadas</t>
  </si>
  <si>
    <t>“São mais de 500 projetos que chegam.”</t>
  </si>
  <si>
    <t>Volume de projetos supera capacidade de análise qualificada</t>
  </si>
  <si>
    <t>“A gente tem que criar algo um pouco mais consolidado, uma governança.”</t>
  </si>
  <si>
    <t>Governança de avaliação de investimentos é insuficiente</t>
  </si>
  <si>
    <t>“Talvez isso esteja até fora do núcleo de CAPEX.”</t>
  </si>
  <si>
    <t>Papel do núcleo na validação financeira é indefinido</t>
  </si>
  <si>
    <t>“A gente tem que ter bastante cuidado ao abordar as outras áreas porque às vezes algumas áreas se sentem invadidas.”</t>
  </si>
  <si>
    <t>Áreas resistem à revisão cruzada de projetos</t>
  </si>
  <si>
    <t>“Hoje o processo está em construção, eu ainda dependo de pessoas.”</t>
  </si>
  <si>
    <t>Processo crítico depende de conhecimento individual</t>
  </si>
  <si>
    <t>“Se ele é quantitativo, ele deveria ter um fluxo único com metodologias únicas estabelecidas na casa.”</t>
  </si>
  <si>
    <t>Fluxo de projetos quantitativos não é padronizado</t>
  </si>
  <si>
    <t>“Eu não fui apresentado pra nenhum modelo desse.”</t>
  </si>
  <si>
    <t>Modelo corporativo de avaliação não é disseminado</t>
  </si>
  <si>
    <t>“Os financeiros das plataformas não podem olhar.”</t>
  </si>
  <si>
    <t>Validação financeira não está integrada às plataformas</t>
  </si>
  <si>
    <t>“Não tem uma abertura tão grande dos projetos de tecnologia.”</t>
  </si>
  <si>
    <t>Projetos de tecnologia entram em aprovação com baixa abertura</t>
  </si>
  <si>
    <t>“A aprovação… é frágil porque não chegou nem abrir os projetos de tecnologia de fato.”</t>
  </si>
  <si>
    <t>Aprovação executiva ocorre com baixa profundidade analítica</t>
  </si>
  <si>
    <t>“Muitas das pessoas que fizeram trabalho antes são pessoas que não tem conhecimento técnico para fazer.”</t>
  </si>
  <si>
    <t>Etapas prévias são conduzidas sem qualificação adequada</t>
  </si>
  <si>
    <t>“Eu não sei se a pessoa não pode acabar tendo algum tipo de viés na hora dessa aprovação.”</t>
  </si>
  <si>
    <t>Aprovação financeira está sujeita a viés da área interessada</t>
  </si>
  <si>
    <t>“Todo qualquer projeto que a plataforma de rodovias propor deveria passar pela Jose.”</t>
  </si>
  <si>
    <t>Projetos não passam consistentemente pelo filtro financeiro local</t>
  </si>
  <si>
    <t>“A gente pode ter projetos… parecidos… e não vejo que existe sinergia nessas iniciativas.”</t>
  </si>
  <si>
    <t>Iniciativas semelhantes não são capturadas com sinergia</t>
  </si>
  <si>
    <t>“Eles podem estar concorrendo entre eles.”</t>
  </si>
  <si>
    <t>Portfólio concorre internamente por falta de coordenação</t>
  </si>
  <si>
    <t>“Trilhos vive o mundo deles, rodovias vive o mundo deles e a gente aqui também vive o nosso.”</t>
  </si>
  <si>
    <t>Plataformas operam como mundos separados</t>
  </si>
  <si>
    <t>“Cada uma fazia uma reunião de status dos seus projetos com formatos totalmente diferentes.”</t>
  </si>
  <si>
    <t>Ausência de padronização de ritos e reports de projetos</t>
  </si>
  <si>
    <t>“A entrada das demandas… cada um fazia do seu jeito.”</t>
  </si>
  <si>
    <t>Entrada de demandas não padronizada entre áreas</t>
  </si>
  <si>
    <t>“Nunca tive atuação com o núcleo para entender dores ou fomentar projetos.”</t>
  </si>
  <si>
    <t>Atuação reativa sem gestão estruturada de demanda</t>
  </si>
  <si>
    <t>“Estou mais apagando fogo… atuando de forma reativa.”</t>
  </si>
  <si>
    <t>Modelo operacional reativo na gestão de demandas</t>
  </si>
  <si>
    <t>“A arquitetura ainda não está clara… quais sistemas vão ficar.”</t>
  </si>
  <si>
    <t>Arquitetura de sistemas indefinida para o modelo futuro</t>
  </si>
  <si>
    <t>“Migração de dados de projetos em andamento é uma preocupação grande.”</t>
  </si>
  <si>
    <t>Risco elevado na migração de dados de CAPEX</t>
  </si>
  <si>
    <t>“Cada ponto focal vai defender o seu processo atual.”</t>
  </si>
  <si>
    <t>Ausência de processo to-be consolidado e alinhado</t>
  </si>
  <si>
    <t>“Ainda não terminamos de desenhar o processo to be.”</t>
  </si>
  <si>
    <t>Processo futuro não definido antes da implantação sistêmica</t>
  </si>
  <si>
    <t>“Está sendo um faz, faz, faz… sem absorção adequada.”</t>
  </si>
  <si>
    <t>Execução acelerada sem maturação de requisitos</t>
  </si>
  <si>
    <t>“Não temos clareza de cronograma, entregáveis e aprovações.”</t>
  </si>
  <si>
    <t>Falta de definição clara de governança e planejamento</t>
  </si>
  <si>
    <t>“Reuniões estão só no grupinho núcleo + TI + engenharia.”</t>
  </si>
  <si>
    <t>Baixo envolvimento das áreas impactadas na governança</t>
  </si>
  <si>
    <t>“Não sinto que todo mundo está na mesma página.”</t>
  </si>
  <si>
    <t>Falta de alinhamento organizacional sobre transformação CAPEX</t>
  </si>
  <si>
    <t>“Cada plataforma sentia liberdade de ter seu próprio sistema.”</t>
  </si>
  <si>
    <t>Fragmentação de sistemas entre plataformas</t>
  </si>
  <si>
    <t>“Despadronização gera impactos negativos.”</t>
  </si>
  <si>
    <t>Falta de padronização de processos e sistemas</t>
  </si>
  <si>
    <t>“PPM não é usado por todas as áreas… cada um usa PPT.”</t>
  </si>
  <si>
    <t>Baixa adesão às ferramentas corporativas de gestão</t>
  </si>
  <si>
    <t>“Status report não bate com o PPM.”</t>
  </si>
  <si>
    <t>Divergência entre sistemas oficiais e reportes executivos</t>
  </si>
  <si>
    <t>“Gestão foi feita em Excel com mais de 200 iniciativas.”</t>
  </si>
  <si>
    <t>Uso de ferramentas paralelas para gestão de portfólio</t>
  </si>
  <si>
    <t>Tecnologia e dados</t>
  </si>
  <si>
    <t>“Medição é totalmente manual… é um retrabalho.”</t>
  </si>
  <si>
    <t>Processo de medição manual e não integrado</t>
  </si>
  <si>
    <t>“Existe muito risco nesse processo de medição.”</t>
  </si>
  <si>
    <t>Alto risco operacional na medição de contratos</t>
  </si>
  <si>
    <t>Gestão de riscos do portfólio</t>
  </si>
  <si>
    <t>“Faço várias operações manuais e depois subo no SAP.”</t>
  </si>
  <si>
    <t>Processo financeiro fragmentado e manual</t>
  </si>
  <si>
    <t>“Não temos centralização de informação nem padronização.”</t>
  </si>
  <si>
    <t>Dados de CAPEX descentralizados e não padronizados</t>
  </si>
  <si>
    <t>“Recebemos informação muito técnica ou em granularidade inadequada.”</t>
  </si>
  <si>
    <t>Informação não adequada ao público consumidor</t>
  </si>
  <si>
    <t>“Cada um responde de um jeito, não existe padrão.”</t>
  </si>
  <si>
    <t>Ausência de padronização na geração de informações</t>
  </si>
  <si>
    <t>“A gente perde muito tempo para chegar na informação final.”</t>
  </si>
  <si>
    <t>Baixa eficiência na consolidação de informações</t>
  </si>
  <si>
    <t>“Temos dificuldade de base de dados e estruturação.”</t>
  </si>
  <si>
    <t>Falta de estruturação e rastreabilidade dos dados</t>
  </si>
  <si>
    <t>“Não conseguimos acompanhar o número do bid ao longo do tempo.”</t>
  </si>
  <si>
    <t>Ausência de tracking estruturado do CAPEX vs BID</t>
  </si>
  <si>
    <t>“A informação não está centralizada, eles precisam buscar.”</t>
  </si>
  <si>
    <t>Dependência de coleta manual de informações</t>
  </si>
  <si>
    <t>“Processo é muito sensível e já teve erro recorrente.”</t>
  </si>
  <si>
    <t>Fragilidade na governança e validação de dados críticos</t>
  </si>
  <si>
    <t>Governança de dados</t>
  </si>
  <si>
    <t>“Não temos análise sistemática de desvios.”</t>
  </si>
  <si>
    <t>Falta de análise estruturada de desvios CAPEX</t>
  </si>
  <si>
    <t>“A interação com o núcleo é sob demanda, não periódica.”</t>
  </si>
  <si>
    <t>Ausência de rotina estruturada de governança com stakeholders</t>
  </si>
  <si>
    <t>“Não existe procedimento formal dessas interações.”</t>
  </si>
  <si>
    <t>Governança não formalizada nas interfaces críticas</t>
  </si>
  <si>
    <t>“a única rastreabilidade sistêmica que a gente tem é do realizado… o resto é tudo confiança na informação”</t>
  </si>
  <si>
    <t>Baixa rastreabilidade sistêmica das informações de CAPEX</t>
  </si>
  <si>
    <t>“o controle do caixa por uma planilha, por uma macro”</t>
  </si>
  <si>
    <t>Dependência de planilhas e macros para controle financeiro</t>
  </si>
  <si>
    <t>“tem valores que não está vinculado a PEP nenhum”</t>
  </si>
  <si>
    <t>Perda de vínculo entre custos e estrutura de projeto (PEP)</t>
  </si>
  <si>
    <t>“a gente acaba perdendo… valores que a gente acaba perdendo”</t>
  </si>
  <si>
    <t>Perda de informação financeira no processo de consolidação</t>
  </si>
  <si>
    <t>“é tudo por fora mesmo”</t>
  </si>
  <si>
    <t>Processo financeiro paralelo fora dos sistemas oficiais</t>
  </si>
  <si>
    <t>“a gente precisa ficar construindo essa… fora”</t>
  </si>
  <si>
    <t>Necessidade de reconstrução manual de informações financeiras</t>
  </si>
  <si>
    <t>“ela cata tudo aquilo que está em branco e começa a garimpar os dados”</t>
  </si>
  <si>
    <t>Processo manual intensivo de saneamento de dados</t>
  </si>
  <si>
    <t>“inputs manuais… se perde, porque entra ali um input manual”</t>
  </si>
  <si>
    <t>Inputs manuais geram perda de rastreabilidade</t>
  </si>
  <si>
    <t>“a gente não acha mais esse dinheiro, não tem nem como achar atrelar o projeto”</t>
  </si>
  <si>
    <t>Impossibilidade de rastrear valores até o projeto</t>
  </si>
  <si>
    <t>“é uma solução paliativa… não é o que a gente precisa”</t>
  </si>
  <si>
    <t>Uso de soluções paliativas para problemas estruturais</t>
  </si>
  <si>
    <t>“essa tratativa… não fosse feita no Excel, e sim no próprio sistema”</t>
  </si>
  <si>
    <t>Processos críticos fora do sistema corporativo</t>
  </si>
  <si>
    <t>“a gente usa o deslocamento de 30 dias… mas tem 8 condições de pagamento”</t>
  </si>
  <si>
    <t>Simplificação inadequada da lógica de fluxo de caixa</t>
  </si>
  <si>
    <t>“inputs manuais… planejamento controle envia pra gente”</t>
  </si>
  <si>
    <t>Dependência de inputs externos não estruturados</t>
  </si>
  <si>
    <t>“eu preciso perguntar para eles… é uma informação que eu pego manual”</t>
  </si>
  <si>
    <t>Dependência de validação manual com múltiplas áreas</t>
  </si>
  <si>
    <t>“13 unidades… faz contato com 13 planejamento e controle”</t>
  </si>
  <si>
    <t>Alta complexidade de interface organizacional</t>
  </si>
  <si>
    <t>“nunca chega no valor total identificado… sempre fica um valor meio perdido”</t>
  </si>
  <si>
    <t>Inconsistência recorrente na consolidação de CAPEX</t>
  </si>
  <si>
    <t>“a gente ajusta… criando métricas por fora”</t>
  </si>
  <si>
    <t>Ajustes manuais não estruturados na consolidação</t>
  </si>
  <si>
    <t>“isso gira em torno de… uns 3% do montante”</t>
  </si>
  <si>
    <t>Percentual relevante de valores sem rastreabilidade</t>
  </si>
  <si>
    <t>“a gente começa no primeiro dia útil e só fecha no oitavo”</t>
  </si>
  <si>
    <t>Alto esforço operacional no fechamento mensal</t>
  </si>
  <si>
    <t>“tudo na mão”</t>
  </si>
  <si>
    <t>Processo altamente manual</t>
  </si>
  <si>
    <t>“está sujeito a erro nosso também”</t>
  </si>
  <si>
    <t>Risco operacional por erro humano</t>
  </si>
  <si>
    <t>“O Atlas... é um sistema de repositórios só de documentos das governanças... Ele não é um sistema de dados e nem... ajuda a tomada de decisão.”</t>
  </si>
  <si>
    <t>Repositório de governança não suporta decisão</t>
  </si>
  <si>
    <t>Tecnologia, Dados e Sistemas: Arquitetura de sistemas</t>
  </si>
  <si>
    <t>“A gente tratou tudo em planilha, sabe? Excel.”</t>
  </si>
  <si>
    <t>Gestão de informações baseada em planilhas</t>
  </si>
  <si>
    <t>Tecnologia, Dados e Sistemas: Rastreabilidade da informação</t>
  </si>
  <si>
    <t>“A gente criou até ferramentas e mecanismos de garantir a última versão dos arquivos... Mas mesmo assim, foi um processo... mais aberto.”</t>
  </si>
  <si>
    <t>Controle documental frágil e disperso</t>
  </si>
  <si>
    <t>“Eles queriam fazer um plugin... para resguardar melhor as informações. Acabou que... não foi pra frente.”</t>
  </si>
  <si>
    <t>Melhoria sistêmica não implementada</t>
  </si>
  <si>
    <t>Tecnologia, Dados e Sistemas: Integração entre sistemas</t>
  </si>
  <si>
    <t>“A gente tinha uma rotina de gestão técnica... uma gerencial e uma estratégica.”</t>
  </si>
  <si>
    <t>Gestão do estudo depende de ritos paralelos</t>
  </si>
  <si>
    <t>Estrutura Organizacional e Governança do CAPEX: Ritos e Fluxo de Governança</t>
  </si>
  <si>
    <t>“É quase um ano antes de estudo até o leilão.”</t>
  </si>
  <si>
    <t>Processo pré-bid exige ciclo longo e intensivo</t>
  </si>
  <si>
    <t>Gestão de Portfólio e PMO: Integração pré-bid e originação de projetos</t>
  </si>
  <si>
    <t>“Tem sim. Tem uma reunião do CI... semanal... Agora o CE e o CA... acontecem mensalmente.”</t>
  </si>
  <si>
    <t>Processo decisório com múltiplas instâncias recorrentes</t>
  </si>
  <si>
    <t>Estrutura Organizacional e Governança do CAPEX: Comitês e fóruns</t>
  </si>
  <si>
    <t>“Eu também tenho que convencer a minha diretoria antes de levar para o corporativo.”</t>
  </si>
  <si>
    <t>Processo exige dupla validação interna e corporativa</t>
  </si>
  <si>
    <t>Estrutura Organizacional e Governança do CAPEX: Alçadas e decisões</t>
  </si>
  <si>
    <t>“A gente precisa formalizar... toda aprovação... precisa ter necessariamente o comitê de CAPEX.”</t>
  </si>
  <si>
    <t>Participação crítica do núcleo depende de formalização</t>
  </si>
  <si>
    <t>Estrutura Organizacional e Governança do CAPEX: Papéis e responsabilidades</t>
  </si>
  <si>
    <t>“Existe uma restrição muito grande de pessoas que enxergam todo.”</t>
  </si>
  <si>
    <t>Informação crítica concentrada em poucos atores</t>
  </si>
  <si>
    <t>“Cada frente funcional enxerga só a sua caixinha... quem enxerga o todo é só o time de novos negócios e a diretoria.”</t>
  </si>
  <si>
    <t>Visão integral do projeto restrita a poucos</t>
  </si>
  <si>
    <t>Estrutura Organizacional e Governança do CAPEX: Integração com áreas corporativas</t>
  </si>
  <si>
    <t>“Qual seria a melhor prática... acompanhar o projeto?... na prática, nós não temos essa experiência.”</t>
  </si>
  <si>
    <t>Pós-bid sem prática consolidada de acompanhamento</t>
  </si>
  <si>
    <t>“A gente tem uma base aonde a gente consegue unificar tanto físico, econômico e financeiro de todos os projetos.”</t>
  </si>
  <si>
    <t>Consolidação central depende de base única restrita</t>
  </si>
  <si>
    <t>Gestão de Portfólio e PMO: Monitoramento físico-financeiro</t>
  </si>
  <si>
    <t>“A gente tem uma base consolidadora que está de acesso restrito só para mim, Franklin, Rebeca.”</t>
  </si>
  <si>
    <t>Consolidação crítica concentrada em poucos usuários</t>
  </si>
  <si>
    <t>“O baseline... é salvo uma única vez... fica inalterado durante todo o ano.”</t>
  </si>
  <si>
    <t>Baseline anual excessivamente rígido</t>
  </si>
  <si>
    <t>“A gente levou... uma proposta para que determinados projetos... pudessem... salvar uma nova linha de base.”</t>
  </si>
  <si>
    <t>Rebaseline depende de exceção formal</t>
  </si>
  <si>
    <t>Gestão de Portfólio e PMO: Governança de portfólio</t>
  </si>
  <si>
    <t>“É 100% feito pela ferramenta.”</t>
  </si>
  <si>
    <t>Tendência gerada de forma determinística</t>
  </si>
  <si>
    <t>“Hoje a gente não tem... visão probabilística.”</t>
  </si>
  <si>
    <t>Planejamento sem análise probabilística</t>
  </si>
  <si>
    <t>Gestão de Portfólio e PMO: Gestão de Riscos do portfólio</t>
  </si>
  <si>
    <t>“Travar números só para não mudar a tendência do projeto é meio que um tiro no pé.”</t>
  </si>
  <si>
    <t>Tendência pode ser artificialmente preservada</t>
  </si>
  <si>
    <t>“Ele pode incluir um fator de restrição ou de risco... mas isso está na mão do planejador.”</t>
  </si>
  <si>
    <t>Gestão de riscos depende de julgamento individual</t>
  </si>
  <si>
    <t>“A gente acaba ficando cego neste tipo de informação.”</t>
  </si>
  <si>
    <t>Falta visibilidade sobre dependências entre projetos</t>
  </si>
  <si>
    <t>“A questão da gestão de mudança... está bem consolidado.”</t>
  </si>
  <si>
    <t>Gestão de mudanças depende de comitê formal</t>
  </si>
  <si>
    <t>“Hoje existe uma frente nossa de... essa gestão de mudança passar por todos os comitês... técnicos.”</t>
  </si>
  <si>
    <t>Validação técnica ainda está sendo ampliada</t>
  </si>
  <si>
    <t>“Atividades em si, a gente não faz o controle.”</t>
  </si>
  <si>
    <t>Alterações finas de cronograma não são governadas</t>
  </si>
  <si>
    <t>“Tem que fazer uma gestão de mudanças... um dia eu tenho que fazer.”</t>
  </si>
  <si>
    <t>Qualquer atraso relevante gera burocracia formal</t>
  </si>
  <si>
    <t>“Nós utilizamos exatamente em linha desse modelo o Movex... mas... nós criamos a metodologia de LPS aqui para o projeto.”</t>
  </si>
  <si>
    <t>Projeto opera com metodologia local complementar</t>
  </si>
  <si>
    <t>Metodologias e Engenharia de Valor: Metodologia de gestão CAPEX</t>
  </si>
  <si>
    <t>“A gente fechou um cronograma executivo... no OPC primavera.”</t>
  </si>
  <si>
    <t>Cronograma executivo depende de estrutura própria do projeto</t>
  </si>
  <si>
    <t>Gestão de Portfólio e PMO: PMO corporativo e plataformas</t>
  </si>
  <si>
    <t>“A informação do cronograma executivo, que é o da obra, alimenta o da motiva.”</t>
  </si>
  <si>
    <t>Cronograma corporativo depende de alimentação externa</t>
  </si>
  <si>
    <t>“Nós temos hoje 2 cronogramas que a gente acompanha.”</t>
  </si>
  <si>
    <t>Gestão paralela com múltiplos cronogramas</t>
  </si>
  <si>
    <t>“A gente está usando o look ahead... olhando 42 dias à frente.”</t>
  </si>
  <si>
    <t>Restrição é monitorada por janela ampliada</t>
  </si>
  <si>
    <t>“Não tem um outro fórum específico a não ser o look ahead para tratar de restrições.”</t>
  </si>
  <si>
    <t>Tratamento de restrições concentra-se em um único rito</t>
  </si>
  <si>
    <t>“A gente analisa junto com o engenheiro e aprova... aprovação com ressalvas e reprovação direta.”</t>
  </si>
  <si>
    <t>Carga de dados sobe somente após validação conjunta</t>
  </si>
  <si>
    <t>“Internamente, sem nenhuma consultoria... a gente trouxe isso aqui.”</t>
  </si>
  <si>
    <t>Metodologia crítica foi internalizada sem apoio externo</t>
  </si>
  <si>
    <t>Metodologias e Engenharia de Valor: Gestão do conhecimento</t>
  </si>
  <si>
    <t>“Medição fica na contratual... mas depois passa por nós por causa da tendência financeira.”</t>
  </si>
  <si>
    <t>Medição e tendência financeira têm responsabilidades fracionadas</t>
  </si>
  <si>
    <t>Gestão Contratual e Contingências: Administração contratual</t>
  </si>
  <si>
    <t>“Toda e qualquer mudança que tiver no projeto... precisa de uma FSM.”</t>
  </si>
  <si>
    <t>Mudanças do projeto dependem de FSM formal</t>
  </si>
  <si>
    <t>“A gente compara aqui o que estava previsto para o mês, o que a gente realiza, e a gente também justifica.”</t>
  </si>
  <si>
    <t>Controle mensal depende de justificativas manuais</t>
  </si>
  <si>
    <t>“A gente reúne com todos os stakeholders para poder fazer a justificativa.”</t>
  </si>
  <si>
    <t>Consolidação financeira depende de múltiplos stakeholders</t>
  </si>
  <si>
    <t>“Tem um procedimento para criação de cronogramas... atualização de cronogramas e importação de cronogramas.”</t>
  </si>
  <si>
    <t>Controle cronogramático é fortemente procedimentado</t>
  </si>
  <si>
    <t>Metodologias e Engenharia de Valor: Padrões e templates</t>
  </si>
  <si>
    <t>“Para a linha 4, a gente fez uma maneira diferente... desde que feche um bilhão.”</t>
  </si>
  <si>
    <t>Ponderação física admite adaptação local</t>
  </si>
  <si>
    <t>“não tinha um dono… não tinha uma pessoa focada que era o pai daquela obra”</t>
  </si>
  <si>
    <t>Ausência de responsabilização clara por projeto</t>
  </si>
  <si>
    <t>“antes… era tudo matricial… não tinha ninguém abaixo”</t>
  </si>
  <si>
    <t>Estrutura matricial sem accountability definida</t>
  </si>
  <si>
    <t>Estrutura Organizacional e Governança do CAPEX: Modelo organizacional</t>
  </si>
  <si>
    <t>“a gente centraliza muitas informações… cronogramas, medições, tudo passa pela gente”</t>
  </si>
  <si>
    <t>Centralização excessiva de informações no PMO</t>
  </si>
  <si>
    <t>“os reports partem da gente… a gente consolida e encaminha”</t>
  </si>
  <si>
    <t>Dependência do PMO para consolidação de informações</t>
  </si>
  <si>
    <t>Gestão de Portfólio e PMO: Indicadores e reports executivos</t>
  </si>
  <si>
    <t>“96 contratos… mais de 100 cronogramas atualizados”</t>
  </si>
  <si>
    <t>Alto volume de contratos e cronogramas por equipe</t>
  </si>
  <si>
    <t>“planilha gigante… onde a gente consolida todas as informações”</t>
  </si>
  <si>
    <t>Dependência de planilha como base central de gestão</t>
  </si>
  <si>
    <t>“tem planilhas auxiliares… para tirar dados do SAP”</t>
  </si>
  <si>
    <t>Integração manual entre sistemas (SAP e Excel)</t>
  </si>
  <si>
    <t>“a gente pega do SAP… e as tendências são baseadas em reunião”</t>
  </si>
  <si>
    <t>Projeções baseadas em julgamento subjetivo</t>
  </si>
  <si>
    <t>“o valor que a gente traz… busca ser o mais real possível”</t>
  </si>
  <si>
    <t>Estimativas dependem de percepção do time</t>
  </si>
  <si>
    <t>“a gente não gera indicadores… não transforma em número”</t>
  </si>
  <si>
    <t>Ausência de uso de indicadores estruturados</t>
  </si>
  <si>
    <t>“indicadores não servem de gestão para a gente”</t>
  </si>
  <si>
    <t>Indicadores não utilizados na gestão operacional</t>
  </si>
  <si>
    <t>“a gente não tem essa rotina… de reunião com PMO central”</t>
  </si>
  <si>
    <t>Ausência de rotina estruturada de governança PMO</t>
  </si>
  <si>
    <t>“funciona de forma matricial… eles consolidam, não aprovam”</t>
  </si>
  <si>
    <t>PMO central sem papel decisório claro</t>
  </si>
  <si>
    <t>“gestão de risco fica com outra área… eu nunca participei”</t>
  </si>
  <si>
    <t>Gestão de riscos desconectada da execução</t>
  </si>
  <si>
    <t>“workshop… ainda não conseguimos fazer para todos os projetos”</t>
  </si>
  <si>
    <t>Processos não escalados para todo portfólio</t>
  </si>
  <si>
    <t>“FEL não é aplicado nos projetos da nossa vertical”</t>
  </si>
  <si>
    <t>Ausência de metodologia FEL na execução</t>
  </si>
  <si>
    <t>“LPS não entra tão a fundo”</t>
  </si>
  <si>
    <t>Baixa aplicação de metodologias Lean</t>
  </si>
  <si>
    <t>“tem um setor de riscos que puxa… mas não participo”</t>
  </si>
  <si>
    <t>Baixa integração entre PMO e gestão de riscos</t>
  </si>
  <si>
    <t>Gestão Contratual e Contingências: Integração com áreas corporativas</t>
  </si>
  <si>
    <t>“duas semanas ruins no mês… medição e tendência”</t>
  </si>
  <si>
    <t>Processos críticos concentram carga operacional</t>
  </si>
  <si>
    <t>“muito trabalho operacional… pouco tempo para análise”</t>
  </si>
  <si>
    <t>Baixo tempo dedicado à análise crítica</t>
  </si>
  <si>
    <t>“a gente tem que ficar até mais tarde para dar conta”</t>
  </si>
  <si>
    <t>Sobrecarga operacional da equipe de planejamento</t>
  </si>
  <si>
    <t>Estrutura Organizacional e Governança do CAPEX: Capacidade e competências</t>
  </si>
  <si>
    <t>“versões diferentes entre sistemas… não é a mesma que acompanhamos”</t>
  </si>
  <si>
    <t>Inconsistência de versões entre sistemas</t>
  </si>
  <si>
    <t>“antes não tinha compromisso com prazo… ficava com gestor”</t>
  </si>
  <si>
    <t>Falta de accountability pelo prazo no modelo anterior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</si>
</sst>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7">
    <font>
      <sz val="11"/>
      <color theme="1"/>
      <name val="Calibri"/>
      <family val="2"/>
      <scheme val="minor"/>
    </font>
    <font>
      <b/>
      <sz val="11"/>
      <color rgb="FFFFFFFF"/>
      <name val="Calibri"/>
      <family val="2"/>
    </font>
    <font>
      <sz val="11"/>
      <color rgb="FFFF0000"/>
      <name val="Calibri"/>
      <family val="2"/>
      <scheme val="minor"/>
    </font>
    <font>
      <b/>
      <sz val="11"/>
      <color theme="1"/>
      <name val="Calibri"/>
      <family val="2"/>
      <scheme val="minor"/>
    </font>
    <font>
      <b/>
      <sz val="11"/>
      <color theme="0"/>
      <name val="Calibri"/>
      <family val="2"/>
    </font>
    <font>
      <sz val="11"/>
      <color theme="1"/>
      <name val="Calibri"/>
      <family val="2"/>
      <scheme val="minor"/>
    </font>
    <font>
      <sz val="11"/>
      <color theme="1"/>
      <name val="Century Gothic"/>
      <family val="2"/>
    </font>
    <font>
      <u/>
      <sz val="11"/>
      <color theme="10"/>
      <name val="Calibri"/>
      <family val="2"/>
      <scheme val="minor"/>
    </font>
    <font>
      <b/>
      <sz val="11"/>
      <color theme="1"/>
      <name val="Century Gothic"/>
      <family val="2"/>
    </font>
    <font>
      <b/>
      <sz val="11"/>
      <color theme="0"/>
      <name val="Century Gothic"/>
      <family val="2"/>
    </font>
    <font>
      <b/>
      <sz val="11"/>
      <color rgb="FF000000"/>
      <name val="Century Gothic"/>
      <family val="2"/>
    </font>
    <font>
      <u/>
      <sz val="11"/>
      <color theme="10"/>
      <name val="Century Gothic"/>
      <family val="2"/>
    </font>
    <font>
      <sz val="11"/>
      <color rgb="FF000000"/>
      <name val="Century Gothic"/>
      <family val="2"/>
    </font>
    <font>
      <sz val="11"/>
      <color theme="9"/>
      <name val="Century Gothic"/>
      <family val="2"/>
    </font>
    <font>
      <b/>
      <sz val="11"/>
      <color rgb="FFC00000"/>
      <name val="Century Gothic"/>
      <family val="2"/>
    </font>
    <font>
      <sz val="11"/>
      <color rgb="FFC00000"/>
      <name val="Century Gothic"/>
      <family val="2"/>
    </font>
    <font>
      <sz val="11"/>
      <name val="Century Gothic"/>
      <family val="2"/>
    </font>
    <font>
      <sz val="11"/>
      <color rgb="FFFF0000"/>
      <name val="Century Gothic"/>
      <family val="2"/>
    </font>
    <font>
      <sz val="11"/>
      <color theme="5"/>
      <name val="Calibri"/>
      <family val="2"/>
      <scheme val="minor"/>
    </font>
    <font>
      <b/>
      <sz val="11"/>
      <color theme="0"/>
      <name val="Calibri"/>
      <family val="2"/>
      <scheme val="minor"/>
    </font>
    <font>
      <sz val="10"/>
      <color theme="1"/>
      <name val="Arial Unicode MS"/>
    </font>
    <font>
      <sz val="10"/>
      <color theme="1"/>
      <name val="Calibri"/>
      <family val="2"/>
      <scheme val="minor"/>
    </font>
    <font>
      <sz val="8"/>
      <name val="Calibri"/>
      <family val="2"/>
      <scheme val="minor"/>
    </font>
    <font>
      <b/>
      <sz val="11"/>
      <name val="Calibri"/>
      <family val="2"/>
    </font>
    <font>
      <sz val="11"/>
      <name val="Calibri"/>
      <family val="2"/>
      <scheme val="minor"/>
    </font>
    <font>
      <u/>
      <sz val="11"/>
      <name val="Calibri"/>
      <family val="2"/>
      <scheme val="minor"/>
    </font>
    <font>
      <sz val="9"/>
      <color indexed="81"/>
      <name val="Segoe UI"/>
      <charset val="1"/>
    </font>
  </fonts>
  <fills count="21">
    <fill>
      <patternFill patternType="none"/>
    </fill>
    <fill>
      <patternFill patternType="gray125"/>
    </fill>
    <fill>
      <patternFill patternType="solid">
        <fgColor rgb="FF1F4E79"/>
      </patternFill>
    </fill>
    <fill>
      <patternFill patternType="solid">
        <fgColor rgb="FFDAD1EA"/>
        <bgColor indexed="64"/>
      </patternFill>
    </fill>
    <fill>
      <patternFill patternType="solid">
        <fgColor theme="0"/>
        <bgColor indexed="64"/>
      </patternFill>
    </fill>
    <fill>
      <patternFill patternType="solid">
        <fgColor theme="1"/>
        <bgColor indexed="64"/>
      </patternFill>
    </fill>
    <fill>
      <patternFill patternType="solid">
        <fgColor theme="0" tint="-4.9989318521683403E-2"/>
        <bgColor indexed="64"/>
      </patternFill>
    </fill>
    <fill>
      <patternFill patternType="solid">
        <fgColor rgb="FFB797EF"/>
        <bgColor indexed="64"/>
      </patternFill>
    </fill>
    <fill>
      <patternFill patternType="solid">
        <fgColor rgb="FFC2BAF2"/>
        <bgColor indexed="64"/>
      </patternFill>
    </fill>
    <fill>
      <patternFill patternType="solid">
        <fgColor rgb="FFDEDAFF"/>
        <bgColor indexed="64"/>
      </patternFill>
    </fill>
    <fill>
      <patternFill patternType="solid">
        <fgColor theme="3"/>
        <bgColor indexed="64"/>
      </patternFill>
    </fill>
    <fill>
      <patternFill patternType="solid">
        <fgColor theme="4"/>
        <bgColor indexed="64"/>
      </patternFill>
    </fill>
    <fill>
      <patternFill patternType="solid">
        <fgColor theme="4" tint="0.79998168889431442"/>
        <bgColor indexed="64"/>
      </patternFill>
    </fill>
    <fill>
      <patternFill patternType="solid">
        <fgColor rgb="FFFFFF00"/>
        <bgColor indexed="64"/>
      </patternFill>
    </fill>
    <fill>
      <patternFill patternType="solid">
        <fgColor rgb="FF1F4E78"/>
      </patternFill>
    </fill>
    <fill>
      <patternFill patternType="solid">
        <fgColor rgb="FF4F81BD"/>
      </patternFill>
    </fill>
    <fill>
      <patternFill patternType="solid">
        <fgColor rgb="FFEAF2F8"/>
      </patternFill>
    </fill>
    <fill>
      <patternFill patternType="solid">
        <fgColor rgb="FFFFFFFF"/>
      </patternFill>
    </fill>
    <fill>
      <patternFill patternType="solid">
        <fgColor rgb="FFF7FBFF"/>
      </patternFill>
    </fill>
    <fill>
      <patternFill patternType="solid">
        <fgColor rgb="FFD9EAF7"/>
      </patternFill>
    </fill>
    <fill>
      <patternFill patternType="solid">
        <fgColor rgb="FFFFC000"/>
        <bgColor indexed="64"/>
      </patternFill>
    </fill>
  </fills>
  <borders count="11">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right/>
      <top/>
      <bottom style="thin">
        <color rgb="FFC8CDD2"/>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rgb="FFD9E2F3"/>
      </bottom>
      <diagonal/>
    </border>
  </borders>
  <cellStyleXfs count="3">
    <xf numFmtId="0" fontId="0" fillId="0" borderId="0"/>
    <xf numFmtId="9" fontId="5" fillId="0" borderId="0" applyFont="0" applyFill="0" applyBorder="0" applyAlignment="0" applyProtection="0"/>
    <xf numFmtId="0" fontId="7" fillId="0" borderId="0" applyNumberFormat="0" applyFill="0" applyBorder="0" applyAlignment="0" applyProtection="0"/>
  </cellStyleXfs>
  <cellXfs count="165">
    <xf numFmtId="0" fontId="0" fillId="0" borderId="0" xfId="0"/>
    <xf numFmtId="0" fontId="1" fillId="2" borderId="0" xfId="0" applyFont="1" applyFill="1" applyAlignment="1">
      <alignment vertical="top" wrapText="1"/>
    </xf>
    <xf numFmtId="0" fontId="1" fillId="2" borderId="0" xfId="0" applyFont="1" applyFill="1" applyAlignment="1">
      <alignment vertical="top"/>
    </xf>
    <xf numFmtId="0" fontId="3" fillId="0" borderId="0" xfId="0" applyFont="1"/>
    <xf numFmtId="0" fontId="2" fillId="0" borderId="0" xfId="0" applyFont="1"/>
    <xf numFmtId="0" fontId="0" fillId="0" borderId="0" xfId="0" applyAlignment="1">
      <alignment vertical="center" wrapText="1"/>
    </xf>
    <xf numFmtId="0" fontId="6" fillId="3" borderId="1" xfId="0" applyFont="1" applyFill="1" applyBorder="1" applyAlignment="1">
      <alignment horizontal="center" vertical="center"/>
    </xf>
    <xf numFmtId="0" fontId="6" fillId="0" borderId="0" xfId="0" applyFont="1" applyAlignment="1">
      <alignment horizontal="center"/>
    </xf>
    <xf numFmtId="0" fontId="6" fillId="0" borderId="0" xfId="0" applyFont="1"/>
    <xf numFmtId="0" fontId="9" fillId="5" borderId="2" xfId="0" applyFont="1" applyFill="1" applyBorder="1" applyAlignment="1">
      <alignment horizontal="center"/>
    </xf>
    <xf numFmtId="0" fontId="8" fillId="5" borderId="2" xfId="0" applyFont="1" applyFill="1" applyBorder="1" applyAlignment="1">
      <alignment horizontal="center"/>
    </xf>
    <xf numFmtId="0" fontId="9" fillId="5" borderId="3" xfId="0" applyFont="1" applyFill="1" applyBorder="1" applyAlignment="1">
      <alignment horizontal="center"/>
    </xf>
    <xf numFmtId="0" fontId="9" fillId="5" borderId="4" xfId="0" applyFont="1" applyFill="1" applyBorder="1" applyAlignment="1">
      <alignment horizontal="center"/>
    </xf>
    <xf numFmtId="0" fontId="8" fillId="6" borderId="4" xfId="0" applyFont="1" applyFill="1" applyBorder="1" applyAlignment="1">
      <alignment horizontal="center"/>
    </xf>
    <xf numFmtId="0" fontId="6" fillId="7" borderId="1" xfId="0" applyFont="1" applyFill="1" applyBorder="1" applyAlignment="1">
      <alignment horizontal="center" vertical="center"/>
    </xf>
    <xf numFmtId="0" fontId="10" fillId="7" borderId="1" xfId="0" applyFont="1" applyFill="1" applyBorder="1" applyAlignment="1">
      <alignment horizontal="center" vertical="center"/>
    </xf>
    <xf numFmtId="0" fontId="11" fillId="7" borderId="1" xfId="2" applyFont="1" applyFill="1" applyBorder="1" applyAlignment="1">
      <alignment horizontal="center" vertical="center"/>
    </xf>
    <xf numFmtId="16" fontId="6" fillId="7" borderId="1" xfId="0" applyNumberFormat="1" applyFont="1" applyFill="1" applyBorder="1" applyAlignment="1">
      <alignment horizontal="center" vertical="center" wrapText="1"/>
    </xf>
    <xf numFmtId="0" fontId="6" fillId="4" borderId="4" xfId="0" applyFont="1" applyFill="1" applyBorder="1" applyAlignment="1">
      <alignment vertical="center"/>
    </xf>
    <xf numFmtId="0" fontId="6" fillId="4" borderId="1" xfId="0" applyFont="1" applyFill="1" applyBorder="1" applyAlignment="1">
      <alignment horizontal="center"/>
    </xf>
    <xf numFmtId="0" fontId="6" fillId="6" borderId="1" xfId="0" applyFont="1" applyFill="1" applyBorder="1" applyAlignment="1">
      <alignment horizontal="center"/>
    </xf>
    <xf numFmtId="9" fontId="6" fillId="6" borderId="1" xfId="1" applyFont="1" applyFill="1" applyBorder="1" applyAlignment="1">
      <alignment horizontal="center"/>
    </xf>
    <xf numFmtId="0" fontId="6" fillId="8" borderId="1" xfId="0" applyFont="1" applyFill="1" applyBorder="1" applyAlignment="1">
      <alignment horizontal="center" vertical="center"/>
    </xf>
    <xf numFmtId="0" fontId="10" fillId="8" borderId="1" xfId="0" applyFont="1" applyFill="1" applyBorder="1" applyAlignment="1">
      <alignment horizontal="center" vertical="center"/>
    </xf>
    <xf numFmtId="0" fontId="11" fillId="8" borderId="1" xfId="2" applyFont="1" applyFill="1" applyBorder="1" applyAlignment="1">
      <alignment horizontal="center" vertical="center"/>
    </xf>
    <xf numFmtId="0" fontId="12" fillId="8" borderId="1" xfId="0" applyFont="1" applyFill="1" applyBorder="1" applyAlignment="1">
      <alignment horizontal="center" vertical="center"/>
    </xf>
    <xf numFmtId="0" fontId="6" fillId="8" borderId="1" xfId="0" applyFont="1" applyFill="1" applyBorder="1" applyAlignment="1">
      <alignment horizontal="center" vertical="center" wrapText="1"/>
    </xf>
    <xf numFmtId="16" fontId="6" fillId="8" borderId="1" xfId="0" applyNumberFormat="1" applyFont="1" applyFill="1" applyBorder="1" applyAlignment="1">
      <alignment horizontal="center" vertical="center" wrapText="1"/>
    </xf>
    <xf numFmtId="0" fontId="6" fillId="4" borderId="4" xfId="0" applyFont="1" applyFill="1" applyBorder="1" applyAlignment="1">
      <alignment vertical="center" wrapText="1"/>
    </xf>
    <xf numFmtId="0" fontId="11" fillId="3" borderId="1" xfId="2" applyFont="1" applyFill="1" applyBorder="1" applyAlignment="1">
      <alignment horizontal="center" vertical="center"/>
    </xf>
    <xf numFmtId="0" fontId="8" fillId="6" borderId="4" xfId="0" applyFont="1" applyFill="1" applyBorder="1" applyAlignment="1">
      <alignment vertical="center" wrapText="1"/>
    </xf>
    <xf numFmtId="0" fontId="8" fillId="6" borderId="1" xfId="0" applyFont="1" applyFill="1" applyBorder="1" applyAlignment="1">
      <alignment horizontal="center"/>
    </xf>
    <xf numFmtId="9" fontId="8" fillId="6" borderId="1" xfId="1" applyFont="1" applyFill="1" applyBorder="1" applyAlignment="1">
      <alignment horizontal="center"/>
    </xf>
    <xf numFmtId="0" fontId="6" fillId="6" borderId="1" xfId="0" applyFont="1" applyFill="1" applyBorder="1" applyAlignment="1">
      <alignment horizontal="center" vertical="center"/>
    </xf>
    <xf numFmtId="0" fontId="11" fillId="6" borderId="1" xfId="2" applyFont="1" applyFill="1" applyBorder="1" applyAlignment="1">
      <alignment horizontal="center" vertical="center"/>
    </xf>
    <xf numFmtId="0" fontId="13" fillId="0" borderId="0" xfId="0" applyFont="1"/>
    <xf numFmtId="0" fontId="13" fillId="0" borderId="0" xfId="0" applyFont="1" applyAlignment="1">
      <alignment horizontal="center"/>
    </xf>
    <xf numFmtId="0" fontId="6" fillId="9" borderId="1" xfId="0" applyFont="1" applyFill="1" applyBorder="1" applyAlignment="1">
      <alignment horizontal="center" vertical="center"/>
    </xf>
    <xf numFmtId="0" fontId="11" fillId="9" borderId="1" xfId="2" applyFont="1" applyFill="1" applyBorder="1" applyAlignment="1">
      <alignment horizontal="center" vertical="center"/>
    </xf>
    <xf numFmtId="0" fontId="6" fillId="3" borderId="5" xfId="0" applyFont="1" applyFill="1" applyBorder="1" applyAlignment="1">
      <alignment horizontal="center" vertical="center"/>
    </xf>
    <xf numFmtId="0" fontId="6" fillId="9" borderId="5" xfId="0" applyFont="1" applyFill="1" applyBorder="1" applyAlignment="1">
      <alignment horizontal="center" vertical="center"/>
    </xf>
    <xf numFmtId="0" fontId="16"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7" borderId="5" xfId="0" applyFont="1" applyFill="1" applyBorder="1" applyAlignment="1">
      <alignment horizontal="center" vertical="center"/>
    </xf>
    <xf numFmtId="22" fontId="6" fillId="8" borderId="1" xfId="0" applyNumberFormat="1" applyFont="1" applyFill="1" applyBorder="1" applyAlignment="1">
      <alignment horizontal="center" vertical="center" wrapText="1"/>
    </xf>
    <xf numFmtId="164" fontId="6" fillId="8" borderId="1" xfId="0" applyNumberFormat="1" applyFont="1" applyFill="1" applyBorder="1" applyAlignment="1">
      <alignment horizontal="center" vertical="center"/>
    </xf>
    <xf numFmtId="22" fontId="6" fillId="3" borderId="1" xfId="0" applyNumberFormat="1" applyFont="1" applyFill="1" applyBorder="1" applyAlignment="1">
      <alignment horizontal="center" vertical="center"/>
    </xf>
    <xf numFmtId="164" fontId="6" fillId="3" borderId="1" xfId="0" applyNumberFormat="1" applyFont="1" applyFill="1" applyBorder="1" applyAlignment="1">
      <alignment horizontal="center" vertical="center"/>
    </xf>
    <xf numFmtId="0" fontId="7" fillId="9" borderId="1" xfId="2" applyFill="1" applyBorder="1" applyAlignment="1">
      <alignment horizontal="center" vertical="center"/>
    </xf>
    <xf numFmtId="22" fontId="6" fillId="9" borderId="1" xfId="0" applyNumberFormat="1" applyFont="1" applyFill="1" applyBorder="1" applyAlignment="1">
      <alignment horizontal="center" vertical="center"/>
    </xf>
    <xf numFmtId="164" fontId="6" fillId="9" borderId="1" xfId="0" applyNumberFormat="1" applyFont="1" applyFill="1" applyBorder="1" applyAlignment="1">
      <alignment horizontal="center" vertical="center"/>
    </xf>
    <xf numFmtId="22" fontId="17" fillId="9" borderId="1" xfId="0" applyNumberFormat="1" applyFont="1" applyFill="1" applyBorder="1" applyAlignment="1">
      <alignment horizontal="center" vertical="center"/>
    </xf>
    <xf numFmtId="164" fontId="6" fillId="6" borderId="1" xfId="0" applyNumberFormat="1" applyFont="1" applyFill="1" applyBorder="1" applyAlignment="1">
      <alignment horizontal="center" vertical="center"/>
    </xf>
    <xf numFmtId="0" fontId="17" fillId="9" borderId="1" xfId="0" applyFont="1" applyFill="1" applyBorder="1" applyAlignment="1">
      <alignment horizontal="center" vertical="center"/>
    </xf>
    <xf numFmtId="0" fontId="7" fillId="3" borderId="1" xfId="2" applyFill="1" applyBorder="1" applyAlignment="1">
      <alignment horizontal="center" vertical="center"/>
    </xf>
    <xf numFmtId="0" fontId="7" fillId="6" borderId="1" xfId="2" applyFill="1" applyBorder="1" applyAlignment="1">
      <alignment horizontal="center" vertical="center"/>
    </xf>
    <xf numFmtId="22" fontId="6" fillId="6" borderId="1" xfId="0" applyNumberFormat="1" applyFont="1" applyFill="1" applyBorder="1" applyAlignment="1">
      <alignment horizontal="center" vertical="center"/>
    </xf>
    <xf numFmtId="0" fontId="17" fillId="0" borderId="0" xfId="0" applyFont="1" applyAlignment="1">
      <alignment horizontal="center"/>
    </xf>
    <xf numFmtId="164" fontId="17" fillId="9" borderId="1" xfId="0" applyNumberFormat="1" applyFont="1" applyFill="1" applyBorder="1" applyAlignment="1">
      <alignment horizontal="center" vertical="center"/>
    </xf>
    <xf numFmtId="0" fontId="17" fillId="0" borderId="0" xfId="0" applyFont="1"/>
    <xf numFmtId="0" fontId="6" fillId="4" borderId="1" xfId="0" applyFont="1" applyFill="1" applyBorder="1" applyAlignment="1">
      <alignment horizontal="center" vertical="center"/>
    </xf>
    <xf numFmtId="0" fontId="6" fillId="4" borderId="1" xfId="0" applyFont="1" applyFill="1" applyBorder="1" applyAlignment="1">
      <alignment horizontal="center" vertical="center" wrapText="1"/>
    </xf>
    <xf numFmtId="14" fontId="1" fillId="2" borderId="0" xfId="0" applyNumberFormat="1" applyFont="1" applyFill="1" applyAlignment="1">
      <alignment vertical="top" wrapText="1"/>
    </xf>
    <xf numFmtId="0" fontId="18" fillId="0" borderId="0" xfId="0" applyFont="1"/>
    <xf numFmtId="0" fontId="0" fillId="0" borderId="0" xfId="0" applyAlignment="1">
      <alignment horizontal="left" vertical="center" wrapText="1"/>
    </xf>
    <xf numFmtId="0" fontId="3" fillId="0" borderId="0" xfId="0" applyFont="1" applyAlignment="1">
      <alignment horizontal="left" vertical="center" wrapText="1"/>
    </xf>
    <xf numFmtId="0" fontId="0" fillId="0" borderId="0" xfId="0" applyAlignment="1">
      <alignment horizontal="right" vertical="center" wrapText="1"/>
    </xf>
    <xf numFmtId="0" fontId="3" fillId="0" borderId="0" xfId="0" applyFont="1" applyAlignment="1">
      <alignment horizontal="right" vertical="center" wrapText="1"/>
    </xf>
    <xf numFmtId="0" fontId="0" fillId="0" borderId="0" xfId="0" applyAlignment="1">
      <alignment horizontal="center" vertical="center" wrapText="1"/>
    </xf>
    <xf numFmtId="0" fontId="1" fillId="2" borderId="0" xfId="0" applyFont="1" applyFill="1" applyAlignment="1">
      <alignment horizontal="center" vertical="center"/>
    </xf>
    <xf numFmtId="0" fontId="4" fillId="2" borderId="0" xfId="0" applyFont="1" applyFill="1" applyAlignment="1">
      <alignment horizontal="center" vertical="center"/>
    </xf>
    <xf numFmtId="0" fontId="1" fillId="2" borderId="0" xfId="0" applyFont="1" applyFill="1" applyAlignment="1">
      <alignment horizontal="center" vertical="center" wrapText="1"/>
    </xf>
    <xf numFmtId="0" fontId="18" fillId="0" borderId="0" xfId="0" applyFont="1" applyAlignment="1">
      <alignment horizontal="center" vertical="center"/>
    </xf>
    <xf numFmtId="0" fontId="18" fillId="0" borderId="0" xfId="0" applyFont="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wrapText="1"/>
    </xf>
    <xf numFmtId="0" fontId="19" fillId="10" borderId="0" xfId="0" applyFont="1" applyFill="1" applyAlignment="1">
      <alignment horizontal="center" vertical="center" wrapText="1"/>
    </xf>
    <xf numFmtId="0" fontId="0" fillId="0" borderId="0" xfId="0" applyAlignment="1">
      <alignment vertical="center"/>
    </xf>
    <xf numFmtId="0" fontId="20" fillId="0" borderId="0" xfId="0" applyFont="1" applyAlignment="1">
      <alignment vertical="center"/>
    </xf>
    <xf numFmtId="0" fontId="21" fillId="0" borderId="0" xfId="0" applyFont="1"/>
    <xf numFmtId="0" fontId="1" fillId="11" borderId="0" xfId="0" applyFont="1" applyFill="1" applyAlignment="1">
      <alignment vertical="top" wrapText="1"/>
    </xf>
    <xf numFmtId="0" fontId="20" fillId="0" borderId="0" xfId="0" applyFont="1" applyAlignment="1">
      <alignment vertical="center" wrapText="1"/>
    </xf>
    <xf numFmtId="0" fontId="3" fillId="0" borderId="0" xfId="0" applyFont="1" applyAlignment="1">
      <alignment horizontal="center" vertical="center"/>
    </xf>
    <xf numFmtId="14" fontId="1" fillId="2" borderId="0" xfId="0" applyNumberFormat="1" applyFont="1" applyFill="1" applyAlignment="1">
      <alignment horizontal="center" vertical="center" wrapText="1"/>
    </xf>
    <xf numFmtId="0" fontId="0" fillId="13" borderId="0" xfId="0" applyFill="1"/>
    <xf numFmtId="0" fontId="0" fillId="0" borderId="0" xfId="0" applyAlignment="1">
      <alignment wrapText="1"/>
    </xf>
    <xf numFmtId="22" fontId="17" fillId="6" borderId="1" xfId="0" applyNumberFormat="1" applyFont="1" applyFill="1" applyBorder="1" applyAlignment="1">
      <alignment horizontal="center" vertical="center"/>
    </xf>
    <xf numFmtId="22" fontId="17" fillId="8" borderId="1" xfId="0" applyNumberFormat="1" applyFont="1" applyFill="1" applyBorder="1" applyAlignment="1">
      <alignment horizontal="center" vertical="center" wrapText="1"/>
    </xf>
    <xf numFmtId="0" fontId="20" fillId="12" borderId="0" xfId="0" applyFont="1" applyFill="1" applyAlignment="1">
      <alignment vertical="center"/>
    </xf>
    <xf numFmtId="0" fontId="1" fillId="15" borderId="7" xfId="0" applyFont="1" applyFill="1" applyBorder="1" applyAlignment="1">
      <alignment vertical="center" wrapText="1"/>
    </xf>
    <xf numFmtId="0" fontId="0" fillId="16" borderId="7" xfId="0" applyFill="1" applyBorder="1" applyAlignment="1">
      <alignment vertical="top" wrapText="1"/>
    </xf>
    <xf numFmtId="0" fontId="0" fillId="17" borderId="7" xfId="0" applyFill="1" applyBorder="1" applyAlignment="1">
      <alignment vertical="top" wrapText="1"/>
    </xf>
    <xf numFmtId="0" fontId="0" fillId="16" borderId="7" xfId="0" applyFill="1" applyBorder="1" applyAlignment="1">
      <alignment horizontal="left" vertical="top" wrapText="1"/>
    </xf>
    <xf numFmtId="0" fontId="1" fillId="15" borderId="7" xfId="0" applyFont="1" applyFill="1" applyBorder="1" applyAlignment="1">
      <alignment horizontal="left" vertical="center" wrapText="1"/>
    </xf>
    <xf numFmtId="0" fontId="0" fillId="17" borderId="7" xfId="0" applyFill="1" applyBorder="1" applyAlignment="1">
      <alignment horizontal="left" vertical="top" wrapText="1"/>
    </xf>
    <xf numFmtId="0" fontId="0" fillId="0" borderId="0" xfId="0" applyAlignment="1">
      <alignment horizontal="left"/>
    </xf>
    <xf numFmtId="14" fontId="0" fillId="16" borderId="7" xfId="0" applyNumberFormat="1" applyFill="1" applyBorder="1" applyAlignment="1">
      <alignment vertical="top" wrapText="1"/>
    </xf>
    <xf numFmtId="0" fontId="0" fillId="18" borderId="8" xfId="0" applyFill="1" applyBorder="1" applyAlignment="1">
      <alignment horizontal="left" vertical="top" wrapText="1"/>
    </xf>
    <xf numFmtId="0" fontId="0" fillId="18" borderId="9" xfId="0" applyFill="1"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1" fillId="14" borderId="10" xfId="0" applyFont="1" applyFill="1" applyBorder="1" applyAlignment="1">
      <alignment horizontal="center" vertical="center" wrapText="1"/>
    </xf>
    <xf numFmtId="0" fontId="0" fillId="18" borderId="0" xfId="0" applyFill="1" applyAlignment="1">
      <alignment horizontal="left" vertical="top" wrapText="1"/>
    </xf>
    <xf numFmtId="0" fontId="0" fillId="18" borderId="0" xfId="0" applyFill="1" applyAlignment="1">
      <alignment horizontal="center" vertical="center" wrapText="1"/>
    </xf>
    <xf numFmtId="0" fontId="0" fillId="0" borderId="0" xfId="0" applyAlignment="1">
      <alignment horizontal="left" vertical="top" wrapText="1"/>
    </xf>
    <xf numFmtId="0" fontId="23" fillId="19" borderId="0" xfId="0" applyFont="1" applyFill="1"/>
    <xf numFmtId="0" fontId="23" fillId="0" borderId="0" xfId="0" applyFont="1" applyAlignment="1">
      <alignment horizontal="left" vertical="top" wrapText="1"/>
    </xf>
    <xf numFmtId="0" fontId="24" fillId="0" borderId="8" xfId="0" applyFont="1" applyBorder="1" applyAlignment="1">
      <alignment horizontal="left" vertical="top" wrapText="1"/>
    </xf>
    <xf numFmtId="0" fontId="24" fillId="18" borderId="8" xfId="0" applyFont="1" applyFill="1" applyBorder="1" applyAlignment="1">
      <alignment horizontal="left" vertical="top" wrapText="1"/>
    </xf>
    <xf numFmtId="164" fontId="6" fillId="3" borderId="0" xfId="0" applyNumberFormat="1" applyFont="1" applyFill="1" applyAlignment="1">
      <alignment horizontal="center" vertical="center"/>
    </xf>
    <xf numFmtId="0" fontId="6" fillId="9" borderId="2" xfId="0" applyFont="1" applyFill="1" applyBorder="1" applyAlignment="1">
      <alignment horizontal="center" vertical="center"/>
    </xf>
    <xf numFmtId="0" fontId="6" fillId="9" borderId="0" xfId="0" applyFont="1" applyFill="1" applyAlignment="1">
      <alignment horizontal="center" vertical="center"/>
    </xf>
    <xf numFmtId="164" fontId="6" fillId="9" borderId="0" xfId="0" applyNumberFormat="1" applyFont="1" applyFill="1" applyAlignment="1">
      <alignment horizontal="center" vertical="center"/>
    </xf>
    <xf numFmtId="0" fontId="7" fillId="8" borderId="1" xfId="2" applyFill="1" applyBorder="1" applyAlignment="1">
      <alignment horizontal="center" vertical="center"/>
    </xf>
    <xf numFmtId="0" fontId="6" fillId="6" borderId="2" xfId="0" applyFont="1" applyFill="1" applyBorder="1" applyAlignment="1">
      <alignment horizontal="center" vertical="center"/>
    </xf>
    <xf numFmtId="22" fontId="16" fillId="6" borderId="1" xfId="0" applyNumberFormat="1" applyFont="1" applyFill="1" applyBorder="1" applyAlignment="1">
      <alignment horizontal="center" vertical="center"/>
    </xf>
    <xf numFmtId="164" fontId="6" fillId="6" borderId="0" xfId="0" applyNumberFormat="1" applyFont="1" applyFill="1" applyAlignment="1">
      <alignment horizontal="center" vertical="center"/>
    </xf>
    <xf numFmtId="0" fontId="8" fillId="3" borderId="1" xfId="0" applyFont="1" applyFill="1" applyBorder="1" applyAlignment="1">
      <alignment horizontal="center" vertical="center"/>
    </xf>
    <xf numFmtId="0" fontId="6" fillId="8" borderId="0" xfId="0" applyFont="1" applyFill="1" applyAlignment="1">
      <alignment horizontal="center" vertical="center"/>
    </xf>
    <xf numFmtId="0" fontId="6" fillId="7" borderId="0" xfId="0" applyFont="1" applyFill="1" applyAlignment="1">
      <alignment horizontal="center" vertical="center"/>
    </xf>
    <xf numFmtId="0" fontId="10" fillId="8" borderId="5" xfId="0" applyFont="1" applyFill="1" applyBorder="1" applyAlignment="1">
      <alignment horizontal="center" vertical="center"/>
    </xf>
    <xf numFmtId="0" fontId="8" fillId="7" borderId="0" xfId="0" applyFont="1" applyFill="1" applyAlignment="1">
      <alignment horizontal="center" vertical="center"/>
    </xf>
    <xf numFmtId="0" fontId="6" fillId="3" borderId="0" xfId="0" applyFont="1" applyFill="1" applyAlignment="1">
      <alignment horizontal="center" vertical="center"/>
    </xf>
    <xf numFmtId="164" fontId="6" fillId="6" borderId="6" xfId="0" applyNumberFormat="1" applyFont="1" applyFill="1" applyBorder="1" applyAlignment="1">
      <alignment horizontal="center" vertical="center"/>
    </xf>
    <xf numFmtId="0" fontId="0" fillId="0" borderId="0" xfId="0" applyAlignment="1">
      <alignment horizontal="center"/>
    </xf>
    <xf numFmtId="1" fontId="0" fillId="0" borderId="0" xfId="1" applyNumberFormat="1" applyFont="1" applyAlignment="1">
      <alignment horizontal="center"/>
    </xf>
    <xf numFmtId="0" fontId="0" fillId="0" borderId="0" xfId="0" applyAlignment="1">
      <alignment horizontal="center" vertical="top" wrapText="1"/>
    </xf>
    <xf numFmtId="0" fontId="0" fillId="4" borderId="7" xfId="0" applyFill="1" applyBorder="1" applyAlignment="1">
      <alignment vertical="top" wrapText="1"/>
    </xf>
    <xf numFmtId="0" fontId="8" fillId="4" borderId="1" xfId="0" applyFont="1" applyFill="1" applyBorder="1" applyAlignment="1">
      <alignment horizontal="center"/>
    </xf>
    <xf numFmtId="0" fontId="1" fillId="20" borderId="10" xfId="0" applyFont="1" applyFill="1" applyBorder="1" applyAlignment="1">
      <alignment horizontal="center" vertical="center" wrapText="1"/>
    </xf>
    <xf numFmtId="0" fontId="0" fillId="20" borderId="0" xfId="0" applyFill="1" applyAlignment="1">
      <alignment horizontal="left" vertical="top" wrapText="1"/>
    </xf>
    <xf numFmtId="22" fontId="16" fillId="9" borderId="1" xfId="0" applyNumberFormat="1" applyFont="1" applyFill="1" applyBorder="1" applyAlignment="1">
      <alignment horizontal="center" vertical="center"/>
    </xf>
    <xf numFmtId="164" fontId="16" fillId="6" borderId="1" xfId="0" applyNumberFormat="1" applyFont="1" applyFill="1" applyBorder="1" applyAlignment="1">
      <alignment horizontal="center" vertical="center"/>
    </xf>
    <xf numFmtId="22" fontId="16" fillId="8" borderId="1" xfId="0" applyNumberFormat="1" applyFont="1" applyFill="1" applyBorder="1" applyAlignment="1">
      <alignment horizontal="center" vertical="center" wrapText="1"/>
    </xf>
    <xf numFmtId="164" fontId="10" fillId="8" borderId="1" xfId="0" applyNumberFormat="1" applyFont="1" applyFill="1" applyBorder="1" applyAlignment="1">
      <alignment horizontal="center" vertical="center"/>
    </xf>
    <xf numFmtId="22" fontId="6" fillId="9" borderId="0" xfId="0" applyNumberFormat="1" applyFont="1" applyFill="1" applyAlignment="1">
      <alignment horizontal="center" vertical="center"/>
    </xf>
    <xf numFmtId="22" fontId="6" fillId="8" borderId="0" xfId="0" applyNumberFormat="1" applyFont="1" applyFill="1" applyAlignment="1">
      <alignment horizontal="center" vertical="center" wrapText="1"/>
    </xf>
    <xf numFmtId="0" fontId="11" fillId="9" borderId="2" xfId="2" applyFont="1" applyFill="1" applyBorder="1" applyAlignment="1">
      <alignment horizontal="center" vertical="center"/>
    </xf>
    <xf numFmtId="164" fontId="6" fillId="9" borderId="2" xfId="0" applyNumberFormat="1" applyFont="1" applyFill="1" applyBorder="1" applyAlignment="1">
      <alignment horizontal="center" vertical="center"/>
    </xf>
    <xf numFmtId="21" fontId="6" fillId="6" borderId="1" xfId="0" applyNumberFormat="1" applyFont="1" applyFill="1" applyBorder="1" applyAlignment="1">
      <alignment horizontal="center" vertical="center"/>
    </xf>
    <xf numFmtId="164" fontId="12" fillId="8" borderId="1" xfId="0" applyNumberFormat="1" applyFont="1" applyFill="1" applyBorder="1" applyAlignment="1">
      <alignment horizontal="center" vertical="center"/>
    </xf>
    <xf numFmtId="22" fontId="6" fillId="7" borderId="1" xfId="0" applyNumberFormat="1" applyFont="1" applyFill="1" applyBorder="1" applyAlignment="1">
      <alignment horizontal="center" vertical="center" wrapText="1"/>
    </xf>
    <xf numFmtId="164" fontId="10" fillId="7" borderId="1" xfId="0" applyNumberFormat="1" applyFont="1" applyFill="1" applyBorder="1" applyAlignment="1">
      <alignment horizontal="center" vertical="center"/>
    </xf>
    <xf numFmtId="14" fontId="8" fillId="7" borderId="1" xfId="0" applyNumberFormat="1" applyFont="1" applyFill="1" applyBorder="1" applyAlignment="1">
      <alignment horizontal="center" vertical="center"/>
    </xf>
    <xf numFmtId="164" fontId="8" fillId="7" borderId="1" xfId="0" applyNumberFormat="1" applyFont="1" applyFill="1" applyBorder="1" applyAlignment="1">
      <alignment horizontal="center" vertical="center"/>
    </xf>
    <xf numFmtId="0" fontId="16" fillId="9" borderId="1" xfId="0" applyFont="1" applyFill="1" applyBorder="1" applyAlignment="1">
      <alignment horizontal="center" vertical="center"/>
    </xf>
    <xf numFmtId="164" fontId="16" fillId="9" borderId="1" xfId="0" applyNumberFormat="1" applyFont="1" applyFill="1" applyBorder="1" applyAlignment="1">
      <alignment horizontal="center" vertical="center"/>
    </xf>
    <xf numFmtId="22" fontId="6" fillId="6" borderId="2" xfId="0" applyNumberFormat="1" applyFont="1" applyFill="1" applyBorder="1" applyAlignment="1">
      <alignment horizontal="center" vertical="center"/>
    </xf>
    <xf numFmtId="0" fontId="6" fillId="3" borderId="6" xfId="0" applyFont="1" applyFill="1" applyBorder="1" applyAlignment="1">
      <alignment horizontal="center" vertical="center"/>
    </xf>
    <xf numFmtId="164" fontId="10" fillId="8" borderId="5" xfId="0" applyNumberFormat="1" applyFont="1" applyFill="1" applyBorder="1" applyAlignment="1">
      <alignment horizontal="center" vertical="center"/>
    </xf>
    <xf numFmtId="164" fontId="6" fillId="3" borderId="5" xfId="0" applyNumberFormat="1" applyFont="1" applyFill="1" applyBorder="1" applyAlignment="1">
      <alignment horizontal="center" vertical="center"/>
    </xf>
    <xf numFmtId="164" fontId="8" fillId="7" borderId="5" xfId="0" applyNumberFormat="1" applyFont="1" applyFill="1" applyBorder="1" applyAlignment="1">
      <alignment horizontal="center" vertical="center"/>
    </xf>
    <xf numFmtId="22" fontId="6" fillId="8" borderId="1" xfId="0" applyNumberFormat="1" applyFont="1" applyFill="1" applyBorder="1" applyAlignment="1">
      <alignment horizontal="center" vertical="center"/>
    </xf>
    <xf numFmtId="164" fontId="6" fillId="9" borderId="5" xfId="0" applyNumberFormat="1" applyFont="1" applyFill="1" applyBorder="1" applyAlignment="1">
      <alignment horizontal="center" vertical="center"/>
    </xf>
    <xf numFmtId="22" fontId="16" fillId="8" borderId="1" xfId="0" applyNumberFormat="1" applyFont="1" applyFill="1" applyBorder="1" applyAlignment="1">
      <alignment horizontal="center" vertical="center"/>
    </xf>
    <xf numFmtId="0" fontId="16" fillId="8" borderId="1" xfId="0" applyFont="1" applyFill="1" applyBorder="1" applyAlignment="1">
      <alignment horizontal="center" vertical="center"/>
    </xf>
    <xf numFmtId="0" fontId="25" fillId="8" borderId="1" xfId="2" applyFont="1" applyFill="1" applyBorder="1" applyAlignment="1">
      <alignment horizontal="center" vertical="center"/>
    </xf>
    <xf numFmtId="164" fontId="16" fillId="8" borderId="1" xfId="0" applyNumberFormat="1" applyFont="1" applyFill="1" applyBorder="1" applyAlignment="1">
      <alignment horizontal="center" vertical="center"/>
    </xf>
    <xf numFmtId="0" fontId="0" fillId="16" borderId="7" xfId="0" applyNumberFormat="1" applyFill="1" applyBorder="1" applyAlignment="1">
      <alignment horizontal="left" vertical="top" wrapText="1"/>
    </xf>
    <xf numFmtId="0" fontId="2" fillId="17" borderId="7" xfId="0" applyFont="1" applyFill="1" applyBorder="1" applyAlignment="1">
      <alignment vertical="top" wrapText="1"/>
    </xf>
    <xf numFmtId="0" fontId="2" fillId="16" borderId="7" xfId="0" applyFont="1" applyFill="1" applyBorder="1" applyAlignment="1">
      <alignment vertical="top" wrapText="1"/>
    </xf>
    <xf numFmtId="0" fontId="0" fillId="0" borderId="8" xfId="0" applyBorder="1" applyAlignment="1">
      <alignment vertical="center" wrapText="1"/>
    </xf>
    <xf numFmtId="0" fontId="0" fillId="18" borderId="0" xfId="0" applyFill="1" applyBorder="1" applyAlignment="1">
      <alignment horizontal="left" vertical="top" wrapText="1"/>
    </xf>
    <xf numFmtId="0" fontId="0" fillId="0" borderId="0" xfId="0" applyBorder="1" applyAlignment="1">
      <alignment horizontal="left" vertical="top" wrapText="1"/>
    </xf>
    <xf numFmtId="0" fontId="0" fillId="0" borderId="9" xfId="0" applyBorder="1" applyAlignment="1">
      <alignment vertical="center" wrapText="1"/>
    </xf>
  </cellXfs>
  <cellStyles count="3">
    <cellStyle name="Hiperlink" xfId="2" builtinId="8"/>
    <cellStyle name="Normal" xfId="0" builtinId="0"/>
    <cellStyle name="Porcentagem" xfId="1" builtinId="5"/>
  </cellStyles>
  <dxfs count="8">
    <dxf>
      <fill>
        <patternFill patternType="solid">
          <fgColor rgb="FFFFF2CC"/>
        </patternFill>
      </fill>
    </dxf>
    <dxf>
      <fill>
        <patternFill>
          <fgColor indexed="64"/>
          <bgColor rgb="FFFFC000"/>
        </patternFill>
      </fill>
    </dxf>
    <dxf>
      <fill>
        <patternFill>
          <fgColor indexed="64"/>
          <bgColor rgb="FFFFC000"/>
        </patternFill>
      </fill>
    </dxf>
    <dxf>
      <fill>
        <patternFill>
          <fgColor indexed="64"/>
          <bgColor rgb="FFFFC000"/>
        </patternFill>
      </fill>
    </dxf>
    <dxf>
      <fill>
        <patternFill>
          <fgColor indexed="64"/>
          <bgColor rgb="FFFFC000"/>
        </patternFill>
      </fill>
    </dxf>
    <dxf>
      <fill>
        <patternFill>
          <fgColor indexed="64"/>
          <bgColor rgb="FFFFC000"/>
        </patternFill>
      </fill>
    </dxf>
    <dxf>
      <fill>
        <patternFill>
          <fgColor indexed="64"/>
          <bgColor rgb="FFFFC000"/>
        </patternFill>
      </fill>
    </dxf>
    <dxf>
      <fill>
        <patternFill>
          <fgColor indexed="64"/>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Isabella Nogueira" id="{FB66F6BF-DFC5-4794-92D0-D8C8228E707F}" userId="S::isabella.nogueira@verum.global::8f6fcf34-265f-49c7-a785-c3674d9f79d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59433F-D56B-48EA-AE20-C0C1A7DBA0E3}" name="tblProbImp" displayName="tblProbImp" ref="A1:K52">
  <autoFilter ref="A1:K52" xr:uid="{E959433F-D56B-48EA-AE20-C0C1A7DBA0E3}"/>
  <tableColumns count="11">
    <tableColumn id="1" xr3:uid="{88675841-B2F1-4B13-A024-C63A677359D5}" name="problema_estrutural"/>
    <tableColumn id="2" xr3:uid="{24C5FFEC-D6D5-42A6-911F-E5532AFB902E}" name="Previsibilidade de Prazo e Entrega"/>
    <tableColumn id="3" xr3:uid="{BDA20169-6C47-47B0-A5EB-0E8F44DC747C}" name="Eficiência e Controle de Capital"/>
    <tableColumn id="4" xr3:uid="{429B9406-F061-4CD2-BCB0-BFC047E34762}" name="Qualidade da Tomada de Decisão de Investimentos"/>
    <tableColumn id="5" xr3:uid="{3AF9EB88-38EC-4E1F-AA73-01EB024C7408}" name="Efetividade da Governança de CAPEX"/>
    <tableColumn id="6" xr3:uid="{6C0D76B4-0569-486E-A553-E70554FC4D5D}" name="Eficiência Operacional da Execução"/>
    <tableColumn id="7" xr3:uid="{65C04129-58EB-43C3-A95A-066B190781D4}" name="Exposição a Riscos de Investimento"/>
    <tableColumn id="8" xr3:uid="{00715797-517D-4C93-8CD0-933F3EEA3948}" name="Qualidade Técnica e Maturidade de Engenharia"/>
    <tableColumn id="9" xr3:uid="{9963686D-F9A5-47D5-82E7-E28FE29B721E}" name="Performance Contratual e Cadeia de Fornecimento"/>
    <tableColumn id="10" xr3:uid="{D5FD209B-6809-4A53-A7AA-91BAD057BC09}" name="Confiabilidade da Informação e Suporte à Decisão"/>
    <tableColumn id="11" xr3:uid="{5D17D789-D975-4BDB-BC6E-90807988A4CB}" name="total"/>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47C053-CA03-41C8-B7D7-12381DE5AA50}" name="tblDimImp" displayName="tblDimImp" ref="A1:K6">
  <autoFilter ref="A1:K6" xr:uid="{C847C053-CA03-41C8-B7D7-12381DE5AA50}"/>
  <tableColumns count="11">
    <tableColumn id="1" xr3:uid="{799DAFBF-EA63-4DEA-93D6-F994ECA94739}" name="dimensao"/>
    <tableColumn id="2" xr3:uid="{20FE4516-250A-41BC-A200-B3D3D4DE0C1F}" name="Previsibilidade de Prazo e Entrega">
      <calculatedColumnFormula>COUNTIFS('Analise Individual (2)'!H:H,tblDimImp[[#This Row],[dimensao]],'Analise Individual (2)'!I:I,tblDimImp[[#Headers],[Previsibilidade de Prazo e Entrega]])</calculatedColumnFormula>
    </tableColumn>
    <tableColumn id="3" xr3:uid="{46444E33-28F4-4B2C-80E5-66773B956F51}" name="Eficiência e Controle de Capital">
      <calculatedColumnFormula>COUNTIFS('Analise Individual (2)'!H:H,tblDimImp[[#This Row],[dimensao]],'Analise Individual (2)'!I:I,tblDimImp[[#Headers],[Eficiência e Controle de Capital]])</calculatedColumnFormula>
    </tableColumn>
    <tableColumn id="4" xr3:uid="{06642E42-26FE-4ACF-BEEE-96667A6071D9}" name="Qualidade da Tomada de Decisão de Investimentos">
      <calculatedColumnFormula>COUNTIFS('Analise Individual (2)'!H:H,tblDimImp[[#This Row],[dimensao]],'Analise Individual (2)'!I:I,tblDimImp[[#Headers],[Qualidade da Tomada de Decisão de Investimentos]])</calculatedColumnFormula>
    </tableColumn>
    <tableColumn id="5" xr3:uid="{822D6BEF-DEF8-4147-B14B-9E1EEFAC9766}" name="Efetividade da Governança de CAPEX">
      <calculatedColumnFormula>COUNTIFS('Analise Individual (2)'!H:H,tblDimImp[[#This Row],[dimensao]],'Analise Individual (2)'!I:I,tblDimImp[[#Headers],[Efetividade da Governança de CAPEX]])</calculatedColumnFormula>
    </tableColumn>
    <tableColumn id="6" xr3:uid="{F68B868F-9BAE-4BD0-8F99-4A39D08E5EAD}" name="Eficiência Operacional da Execução">
      <calculatedColumnFormula>COUNTIFS('Analise Individual (2)'!H:H,tblDimImp[[#This Row],[dimensao]],'Analise Individual (2)'!I:I,tblDimImp[[#Headers],[Eficiência Operacional da Execução]])</calculatedColumnFormula>
    </tableColumn>
    <tableColumn id="7" xr3:uid="{8383876E-51CF-4422-801B-7BA685069CDF}" name="Exposição a Riscos de Investimento">
      <calculatedColumnFormula>COUNTIFS('Analise Individual (2)'!H:H,tblDimImp[[#This Row],[dimensao]],'Analise Individual (2)'!I:I,tblDimImp[[#Headers],[Exposição a Riscos de Investimento]])</calculatedColumnFormula>
    </tableColumn>
    <tableColumn id="8" xr3:uid="{81D6D4C8-AD6C-4089-80DF-8FB9EF140BBF}" name="Qualidade Técnica e Maturidade de Engenharia">
      <calculatedColumnFormula>COUNTIFS('Analise Individual (2)'!H:H,tblDimImp[[#This Row],[dimensao]],'Analise Individual (2)'!I:I,tblDimImp[[#Headers],[Qualidade Técnica e Maturidade de Engenharia]])</calculatedColumnFormula>
    </tableColumn>
    <tableColumn id="9" xr3:uid="{071C21AD-FCF9-4DFE-9E66-FC6A8DF6E35A}" name="Performance Contratual e Cadeia de Fornecimento">
      <calculatedColumnFormula>COUNTIFS('Analise Individual (2)'!H:H,tblDimImp[[#This Row],[dimensao]],'Analise Individual (2)'!I:I,tblDimImp[[#Headers],[Performance Contratual e Cadeia de Fornecimento]])</calculatedColumnFormula>
    </tableColumn>
    <tableColumn id="10" xr3:uid="{23714B8B-3FB3-4C5B-920E-154DC69895A4}" name="Confiabilidade da Informação e Suporte à Decisão">
      <calculatedColumnFormula>COUNTIFS('Analise Individual (2)'!H:H,tblDimImp[[#This Row],[dimensao]],'Analise Individual (2)'!I:I,tblDimImp[[#Headers],[Confiabilidade da Informação e Suporte à Decisão]])</calculatedColumnFormula>
    </tableColumn>
    <tableColumn id="11" xr3:uid="{2EB7DD50-6E88-4B28-A492-F269EA7B821A}" name="total">
      <calculatedColumnFormula>SUM(tblDimImp[[#This Row],[Previsibilidade de Prazo e Entrega]:[Confiabilidade da Informação e Suporte à Decisão]])</calculatedColumnFormula>
    </tableColumn>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7C74EDF-24BC-4355-9AE1-5E1506D50DC0}" name="tblHip" displayName="tblHip" ref="A1:D7" headerRowDxfId="3" dataDxfId="1" totalsRowDxfId="2">
  <autoFilter ref="A1:D7" xr:uid="{E7C74EDF-24BC-4355-9AE1-5E1506D50DC0}"/>
  <tableColumns count="4">
    <tableColumn id="1" xr3:uid="{57154507-5D45-46D8-AF7C-52C769648ED3}" name="hipotese" dataDxfId="7"/>
    <tableColumn id="2" xr3:uid="{F6188735-E123-4478-BAED-2239CD150338}" name="evidencia_sintese" dataDxfId="6"/>
    <tableColumn id="3" xr3:uid="{10438244-3675-4743-A4E2-929D196F9B36}" name="como_testar" dataDxfId="5"/>
    <tableColumn id="4" xr3:uid="{2A3D411A-7F78-4A57-B741-488418E50B89}" name="status" dataDxfId="4"/>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8" dT="2026-02-19T14:59:28.05" personId="{FB66F6BF-DFC5-4794-92D0-D8C8228E707F}" id="{770B3D82-BFF0-49F0-BD31-E9944D475DDF}">
    <text xml:space="preserve">Verificar se ele fica abaixo da Adriana.
</text>
  </threadedComment>
  <threadedComment ref="D17" dT="2026-02-19T15:21:33.55" personId="{FB66F6BF-DFC5-4794-92D0-D8C8228E707F}" id="{83992CE8-066F-47D9-A4D6-D6C4A0580C78}">
    <text xml:space="preserve">Verificar se ele fica abaixo da Adriana
</text>
  </threadedComment>
  <threadedComment ref="D49" dT="2026-02-13T12:39:44.31" personId="{FB66F6BF-DFC5-4794-92D0-D8C8228E707F}" id="{76E82374-C32B-48FA-9745-7685B9F73FB8}">
    <text xml:space="preserve">Após 27/02
</text>
  </threadedComment>
  <threadedComment ref="H81" dT="2026-02-11T19:02:14.30" personId="{FB66F6BF-DFC5-4794-92D0-D8C8228E707F}" id="{B52FC53E-E294-4E51-A3D2-7D6842882D54}">
    <text xml:space="preserve">Mesmo nome que a VP do Waldo? 
</text>
  </threadedComment>
  <threadedComment ref="D98" dT="2026-02-13T12:18:11.21" personId="{FB66F6BF-DFC5-4794-92D0-D8C8228E707F}" id="{6396C1B2-E8D8-4252-9C30-A5B60357EC29}">
    <text>PRIORIZAR ENTREVISTA POIS ESTÁ SAINDO</text>
  </threadedComment>
  <threadedComment ref="D121" dT="2026-02-13T12:29:56.35" personId="{FB66F6BF-DFC5-4794-92D0-D8C8228E707F}" id="{AB9AE005-98F8-4FBF-8DC1-55DB29C337AF}">
    <text xml:space="preserve">FÉRIAS - RETORNA EM 20d
</text>
  </threadedComment>
  <threadedComment ref="D127" dT="2026-02-25T14:13:57.12" personId="{FB66F6BF-DFC5-4794-92D0-D8C8228E707F}" id="{D0F09164-B896-4778-BB82-14C5415E1848}">
    <text>Não identifiquei a quem está ligada - Deixar em uma caixa solta no N6 (Fabio Henrique Roncalho?)</text>
  </threadedComment>
</ThreadedComment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26" Type="http://schemas.openxmlformats.org/officeDocument/2006/relationships/hyperlink" Target="mailto:rodrigoaraujo.alves@motiva.com.br" TargetMode="External"/><Relationship Id="rId21" Type="http://schemas.openxmlformats.org/officeDocument/2006/relationships/hyperlink" Target="mailto:elmo.copello@motiva.com.br" TargetMode="External"/><Relationship Id="rId34" Type="http://schemas.openxmlformats.org/officeDocument/2006/relationships/hyperlink" Target="mailto:juliana.freitas@motiva.com.br" TargetMode="External"/><Relationship Id="rId42" Type="http://schemas.openxmlformats.org/officeDocument/2006/relationships/hyperlink" Target="mailto:homero.cardoso@motiva.com.br" TargetMode="External"/><Relationship Id="rId47" Type="http://schemas.openxmlformats.org/officeDocument/2006/relationships/hyperlink" Target="mailto:juliana.criscoulo@motiva.com.br" TargetMode="External"/><Relationship Id="rId50" Type="http://schemas.openxmlformats.org/officeDocument/2006/relationships/hyperlink" Target="mailto:rebeka.wang@motiva.com.br" TargetMode="External"/><Relationship Id="rId55" Type="http://schemas.openxmlformats.org/officeDocument/2006/relationships/hyperlink" Target="mailto:tiago.esteves@motiva.com.br" TargetMode="External"/><Relationship Id="rId63" Type="http://schemas.openxmlformats.org/officeDocument/2006/relationships/printerSettings" Target="../printerSettings/printerSettings1.bin"/><Relationship Id="rId7" Type="http://schemas.openxmlformats.org/officeDocument/2006/relationships/hyperlink" Target="mailto:alexandre.magno@motiva.com.br%20" TargetMode="External"/><Relationship Id="rId2" Type="http://schemas.openxmlformats.org/officeDocument/2006/relationships/hyperlink" Target="mailto:juliana.ming@motiva.com.br" TargetMode="External"/><Relationship Id="rId16" Type="http://schemas.openxmlformats.org/officeDocument/2006/relationships/hyperlink" Target="mailto:alexandro.francisco@motiva.com.br" TargetMode="External"/><Relationship Id="rId29" Type="http://schemas.openxmlformats.org/officeDocument/2006/relationships/hyperlink" Target="mailto:rafael.bortolotti@motiva.com.br" TargetMode="External"/><Relationship Id="rId11" Type="http://schemas.openxmlformats.org/officeDocument/2006/relationships/hyperlink" Target="mailto:emilia.dias@motiva.com.br" TargetMode="External"/><Relationship Id="rId24" Type="http://schemas.openxmlformats.org/officeDocument/2006/relationships/hyperlink" Target="mailto:danieli.ribeiro@motiva.com.br" TargetMode="External"/><Relationship Id="rId32" Type="http://schemas.openxmlformats.org/officeDocument/2006/relationships/hyperlink" Target="mailto:raquel.cardoso@motiva.com.br" TargetMode="External"/><Relationship Id="rId37" Type="http://schemas.openxmlformats.org/officeDocument/2006/relationships/hyperlink" Target="mailto:romulo.nagumo@motiva.com.br" TargetMode="External"/><Relationship Id="rId40" Type="http://schemas.openxmlformats.org/officeDocument/2006/relationships/hyperlink" Target="mailto:ricardo.benicio@motiva.com.br" TargetMode="External"/><Relationship Id="rId45" Type="http://schemas.openxmlformats.org/officeDocument/2006/relationships/hyperlink" Target="mailto:paulo.amaral@motiva.com.br" TargetMode="External"/><Relationship Id="rId53" Type="http://schemas.openxmlformats.org/officeDocument/2006/relationships/hyperlink" Target="mailto:bruno.magalhaes@motiva.com.br" TargetMode="External"/><Relationship Id="rId58" Type="http://schemas.openxmlformats.org/officeDocument/2006/relationships/hyperlink" Target="mailto:jhonnathan.souza@motiva.com.br" TargetMode="External"/><Relationship Id="rId66" Type="http://schemas.microsoft.com/office/2017/10/relationships/threadedComment" Target="../threadedComments/threadedComment1.xml"/><Relationship Id="rId5" Type="http://schemas.openxmlformats.org/officeDocument/2006/relationships/hyperlink" Target="mailto:waldo.perez@motiva.com.br" TargetMode="External"/><Relationship Id="rId61" Type="http://schemas.openxmlformats.org/officeDocument/2006/relationships/hyperlink" Target="mailto:igor.camillo@motiva.com.br" TargetMode="External"/><Relationship Id="rId19" Type="http://schemas.openxmlformats.org/officeDocument/2006/relationships/hyperlink" Target="mailto:nelson.neto@motiva.com.br" TargetMode="External"/><Relationship Id="rId14" Type="http://schemas.openxmlformats.org/officeDocument/2006/relationships/hyperlink" Target="mailto:renata.lacerda@motiva.com.br" TargetMode="External"/><Relationship Id="rId22" Type="http://schemas.openxmlformats.org/officeDocument/2006/relationships/hyperlink" Target="mailto:jorge.maia@motiva.com.br" TargetMode="External"/><Relationship Id="rId27" Type="http://schemas.openxmlformats.org/officeDocument/2006/relationships/hyperlink" Target="mailto:giancarlo.ferreira@motiva.com.br" TargetMode="External"/><Relationship Id="rId30" Type="http://schemas.openxmlformats.org/officeDocument/2006/relationships/hyperlink" Target="mailto:priscila.pereira@motiva.com.br" TargetMode="External"/><Relationship Id="rId35" Type="http://schemas.openxmlformats.org/officeDocument/2006/relationships/hyperlink" Target="mailto:vinicius.norberto@motiva.com.br" TargetMode="External"/><Relationship Id="rId43" Type="http://schemas.openxmlformats.org/officeDocument/2006/relationships/hyperlink" Target="mailto:vanilza.pandolfo@motiva.com.br" TargetMode="External"/><Relationship Id="rId48" Type="http://schemas.openxmlformats.org/officeDocument/2006/relationships/hyperlink" Target="mailto:luciana.bugno@motiva.com.br" TargetMode="External"/><Relationship Id="rId56" Type="http://schemas.openxmlformats.org/officeDocument/2006/relationships/hyperlink" Target="mailto:anderson.zanetti@motiva.com.br" TargetMode="External"/><Relationship Id="rId64" Type="http://schemas.openxmlformats.org/officeDocument/2006/relationships/vmlDrawing" Target="../drawings/vmlDrawing1.vml"/><Relationship Id="rId8" Type="http://schemas.openxmlformats.org/officeDocument/2006/relationships/hyperlink" Target="mailto:fabiana.abrita@motiva.com.br" TargetMode="External"/><Relationship Id="rId51" Type="http://schemas.openxmlformats.org/officeDocument/2006/relationships/hyperlink" Target="mailto:guilherme.tellis@motiva.com.br" TargetMode="External"/><Relationship Id="rId3" Type="http://schemas.openxmlformats.org/officeDocument/2006/relationships/hyperlink" Target="mailto:flavia.godoy@motiva.com.br" TargetMode="External"/><Relationship Id="rId12" Type="http://schemas.openxmlformats.org/officeDocument/2006/relationships/hyperlink" Target="mailto:eduardo.camargo@motiva.com.br" TargetMode="External"/><Relationship Id="rId17" Type="http://schemas.openxmlformats.org/officeDocument/2006/relationships/hyperlink" Target="mailto:marcelo.borgheresi@motiva.com.br" TargetMode="External"/><Relationship Id="rId25" Type="http://schemas.openxmlformats.org/officeDocument/2006/relationships/hyperlink" Target="mailto:felipe.valente@motiva.com.br" TargetMode="External"/><Relationship Id="rId33" Type="http://schemas.openxmlformats.org/officeDocument/2006/relationships/hyperlink" Target="mailto:vinicius.matteoni@motiva.com.br" TargetMode="External"/><Relationship Id="rId38" Type="http://schemas.openxmlformats.org/officeDocument/2006/relationships/hyperlink" Target="mailto:sabrina.pedroso@motiva.com.br" TargetMode="External"/><Relationship Id="rId46" Type="http://schemas.openxmlformats.org/officeDocument/2006/relationships/hyperlink" Target="mailto:gustavo.jaquie@motiva.com.br" TargetMode="External"/><Relationship Id="rId59" Type="http://schemas.openxmlformats.org/officeDocument/2006/relationships/hyperlink" Target="mailto:gabriel.jacondino@motiva.com.br" TargetMode="External"/><Relationship Id="rId20" Type="http://schemas.openxmlformats.org/officeDocument/2006/relationships/hyperlink" Target="mailto:andre.salcedo@motiva.com.br" TargetMode="External"/><Relationship Id="rId41" Type="http://schemas.openxmlformats.org/officeDocument/2006/relationships/hyperlink" Target="mailto:jean.bonin@motiva.com.br" TargetMode="External"/><Relationship Id="rId54" Type="http://schemas.openxmlformats.org/officeDocument/2006/relationships/hyperlink" Target="mailto:milton.giova@motiva.com.br" TargetMode="External"/><Relationship Id="rId62" Type="http://schemas.openxmlformats.org/officeDocument/2006/relationships/hyperlink" Target="mailto:claudia.ponciano@motiva.com.br" TargetMode="External"/><Relationship Id="rId1" Type="http://schemas.openxmlformats.org/officeDocument/2006/relationships/hyperlink" Target="mailto:marcelo.ferraz@motiva.com.br" TargetMode="External"/><Relationship Id="rId6" Type="http://schemas.openxmlformats.org/officeDocument/2006/relationships/hyperlink" Target="mailto:flavio.pimentel@motiva.com.br" TargetMode="External"/><Relationship Id="rId15" Type="http://schemas.openxmlformats.org/officeDocument/2006/relationships/hyperlink" Target="mailto:alexandre.fontes@motiva.com.br" TargetMode="External"/><Relationship Id="rId23" Type="http://schemas.openxmlformats.org/officeDocument/2006/relationships/hyperlink" Target="mailto:rodrigo.lcorrea@motiva.com.br" TargetMode="External"/><Relationship Id="rId28" Type="http://schemas.openxmlformats.org/officeDocument/2006/relationships/hyperlink" Target="mailto:carolina.goes@motiva.com.br" TargetMode="External"/><Relationship Id="rId36" Type="http://schemas.openxmlformats.org/officeDocument/2006/relationships/hyperlink" Target="mailto:fabio.mota@motiva.com.br" TargetMode="External"/><Relationship Id="rId49" Type="http://schemas.openxmlformats.org/officeDocument/2006/relationships/hyperlink" Target="mailto:joao.pita@motiva.com.br" TargetMode="External"/><Relationship Id="rId57" Type="http://schemas.openxmlformats.org/officeDocument/2006/relationships/hyperlink" Target="mailto:maria.jaco@motiva.com.br" TargetMode="External"/><Relationship Id="rId10" Type="http://schemas.openxmlformats.org/officeDocument/2006/relationships/hyperlink" Target="mailto:murilo.massaretto@motiva.com.br" TargetMode="External"/><Relationship Id="rId31" Type="http://schemas.openxmlformats.org/officeDocument/2006/relationships/hyperlink" Target="mailto:rodolfo.teixeira@motiva.com.br" TargetMode="External"/><Relationship Id="rId44" Type="http://schemas.openxmlformats.org/officeDocument/2006/relationships/hyperlink" Target="mailto:paulo.aredes@motiva.com.br" TargetMode="External"/><Relationship Id="rId52" Type="http://schemas.openxmlformats.org/officeDocument/2006/relationships/hyperlink" Target="mailto:andre.teixeira@motiva.com.br" TargetMode="External"/><Relationship Id="rId60" Type="http://schemas.openxmlformats.org/officeDocument/2006/relationships/hyperlink" Target="mailto:antonio.barros@motiva.com.br" TargetMode="External"/><Relationship Id="rId65" Type="http://schemas.openxmlformats.org/officeDocument/2006/relationships/comments" Target="../comments1.xml"/><Relationship Id="rId4" Type="http://schemas.openxmlformats.org/officeDocument/2006/relationships/hyperlink" Target="mailto:caue.cunha@motiva.com.br" TargetMode="External"/><Relationship Id="rId9" Type="http://schemas.openxmlformats.org/officeDocument/2006/relationships/hyperlink" Target="mailto:leticia.cardoso@motiva.com.br" TargetMode="External"/><Relationship Id="rId13" Type="http://schemas.openxmlformats.org/officeDocument/2006/relationships/hyperlink" Target="mailto:josiane.almeida@motiva.com.br" TargetMode="External"/><Relationship Id="rId18" Type="http://schemas.openxmlformats.org/officeDocument/2006/relationships/hyperlink" Target="mailto:keller.junior@motiva.com.br" TargetMode="External"/><Relationship Id="rId39" Type="http://schemas.openxmlformats.org/officeDocument/2006/relationships/hyperlink" Target="mailto:priscila.martins@motiva.com.b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95B91-EAD2-4969-B728-1A268B5440B9}">
  <sheetPr>
    <tabColor theme="1"/>
  </sheetPr>
  <dimension ref="A1:T37"/>
  <sheetViews>
    <sheetView zoomScale="85" zoomScaleNormal="85" workbookViewId="0">
      <selection activeCell="B4" sqref="B4:B20"/>
    </sheetView>
  </sheetViews>
  <sheetFormatPr defaultRowHeight="14.4"/>
  <cols>
    <col min="1" max="1" width="34.21875" bestFit="1" customWidth="1"/>
    <col min="2" max="2" width="37.109375" bestFit="1" customWidth="1"/>
    <col min="3" max="3" width="44.33203125" bestFit="1" customWidth="1"/>
    <col min="4" max="4" width="30.33203125" bestFit="1" customWidth="1"/>
    <col min="5" max="5" width="41" bestFit="1" customWidth="1"/>
    <col min="6" max="6" width="10.33203125" bestFit="1" customWidth="1"/>
    <col min="17" max="17" width="8.88671875" customWidth="1"/>
    <col min="18" max="18" width="38" bestFit="1" customWidth="1"/>
    <col min="19" max="19" width="29.88671875" bestFit="1" customWidth="1"/>
    <col min="20" max="20" width="92.88671875" bestFit="1" customWidth="1"/>
  </cols>
  <sheetData>
    <row r="1" spans="1:20">
      <c r="A1" s="3" t="s">
        <v>998</v>
      </c>
      <c r="B1" s="3" t="s">
        <v>0</v>
      </c>
      <c r="C1" s="3" t="s">
        <v>120</v>
      </c>
      <c r="D1" s="3" t="s">
        <v>1</v>
      </c>
      <c r="E1" s="3" t="s">
        <v>2</v>
      </c>
      <c r="F1" s="3" t="s">
        <v>3</v>
      </c>
      <c r="G1" s="3" t="s">
        <v>4</v>
      </c>
      <c r="R1" s="3" t="s">
        <v>812</v>
      </c>
      <c r="S1" s="3" t="s">
        <v>813</v>
      </c>
      <c r="T1" s="3" t="s">
        <v>815</v>
      </c>
    </row>
    <row r="2" spans="1:20">
      <c r="A2" t="s">
        <v>851</v>
      </c>
      <c r="B2" t="s">
        <v>867</v>
      </c>
      <c r="C2" t="s">
        <v>978</v>
      </c>
      <c r="D2" t="s">
        <v>6</v>
      </c>
      <c r="E2" t="s">
        <v>7</v>
      </c>
      <c r="F2" t="s">
        <v>8</v>
      </c>
      <c r="G2" t="s">
        <v>9</v>
      </c>
      <c r="R2" t="s">
        <v>5</v>
      </c>
      <c r="S2" t="s">
        <v>814</v>
      </c>
      <c r="T2" t="s">
        <v>819</v>
      </c>
    </row>
    <row r="3" spans="1:20">
      <c r="A3" t="s">
        <v>999</v>
      </c>
      <c r="B3" t="s">
        <v>868</v>
      </c>
      <c r="C3" t="s">
        <v>980</v>
      </c>
      <c r="D3" t="s">
        <v>11</v>
      </c>
      <c r="E3" t="s">
        <v>12</v>
      </c>
      <c r="F3" t="s">
        <v>13</v>
      </c>
      <c r="G3" t="s">
        <v>14</v>
      </c>
      <c r="R3" t="s">
        <v>10</v>
      </c>
      <c r="S3" t="s">
        <v>814</v>
      </c>
      <c r="T3" t="s">
        <v>819</v>
      </c>
    </row>
    <row r="4" spans="1:20">
      <c r="A4" t="s">
        <v>850</v>
      </c>
      <c r="B4" t="s">
        <v>869</v>
      </c>
      <c r="C4" t="s">
        <v>982</v>
      </c>
      <c r="D4" t="s">
        <v>16</v>
      </c>
      <c r="E4" t="s">
        <v>17</v>
      </c>
      <c r="G4" t="s">
        <v>18</v>
      </c>
      <c r="R4" t="s">
        <v>15</v>
      </c>
      <c r="S4" t="s">
        <v>814</v>
      </c>
      <c r="T4" t="s">
        <v>819</v>
      </c>
    </row>
    <row r="5" spans="1:20">
      <c r="A5" t="s">
        <v>853</v>
      </c>
      <c r="B5" t="s">
        <v>870</v>
      </c>
      <c r="C5" t="s">
        <v>984</v>
      </c>
      <c r="D5" t="s">
        <v>20</v>
      </c>
      <c r="E5" t="s">
        <v>21</v>
      </c>
      <c r="G5" t="s">
        <v>22</v>
      </c>
      <c r="R5" t="s">
        <v>818</v>
      </c>
      <c r="S5" t="s">
        <v>82</v>
      </c>
      <c r="T5" t="s">
        <v>816</v>
      </c>
    </row>
    <row r="6" spans="1:20">
      <c r="A6" t="s">
        <v>854</v>
      </c>
      <c r="B6" t="s">
        <v>871</v>
      </c>
      <c r="C6" t="s">
        <v>986</v>
      </c>
      <c r="D6" t="s">
        <v>24</v>
      </c>
      <c r="G6" t="s">
        <v>25</v>
      </c>
      <c r="R6" s="84" t="s">
        <v>817</v>
      </c>
      <c r="S6" t="s">
        <v>814</v>
      </c>
      <c r="T6" t="s">
        <v>819</v>
      </c>
    </row>
    <row r="7" spans="1:20">
      <c r="A7" t="s">
        <v>28</v>
      </c>
      <c r="B7" t="s">
        <v>872</v>
      </c>
      <c r="C7" t="s">
        <v>988</v>
      </c>
      <c r="G7" t="s">
        <v>27</v>
      </c>
      <c r="R7" s="84" t="s">
        <v>23</v>
      </c>
      <c r="S7" s="84" t="s">
        <v>820</v>
      </c>
    </row>
    <row r="8" spans="1:20">
      <c r="A8" t="s">
        <v>66</v>
      </c>
      <c r="B8" t="s">
        <v>873</v>
      </c>
      <c r="C8" t="s">
        <v>990</v>
      </c>
      <c r="G8" t="s">
        <v>29</v>
      </c>
      <c r="R8" t="s">
        <v>26</v>
      </c>
    </row>
    <row r="9" spans="1:20">
      <c r="B9" t="s">
        <v>874</v>
      </c>
      <c r="C9" t="s">
        <v>992</v>
      </c>
      <c r="R9" t="s">
        <v>28</v>
      </c>
    </row>
    <row r="10" spans="1:20">
      <c r="B10" t="s">
        <v>875</v>
      </c>
      <c r="C10" t="s">
        <v>994</v>
      </c>
      <c r="R10" t="s">
        <v>30</v>
      </c>
    </row>
    <row r="11" spans="1:20">
      <c r="B11" t="s">
        <v>876</v>
      </c>
      <c r="T11" t="s">
        <v>821</v>
      </c>
    </row>
    <row r="12" spans="1:20">
      <c r="B12" t="s">
        <v>891</v>
      </c>
      <c r="T12" t="s">
        <v>112</v>
      </c>
    </row>
    <row r="13" spans="1:20">
      <c r="B13" t="s">
        <v>877</v>
      </c>
      <c r="T13" t="s">
        <v>822</v>
      </c>
    </row>
    <row r="14" spans="1:20">
      <c r="B14" t="s">
        <v>878</v>
      </c>
      <c r="T14" t="s">
        <v>823</v>
      </c>
    </row>
    <row r="15" spans="1:20">
      <c r="B15" t="s">
        <v>879</v>
      </c>
      <c r="E15" t="s">
        <v>31</v>
      </c>
    </row>
    <row r="16" spans="1:20">
      <c r="B16" t="s">
        <v>402</v>
      </c>
      <c r="E16" t="s">
        <v>32</v>
      </c>
    </row>
    <row r="17" spans="2:5">
      <c r="B17" t="s">
        <v>880</v>
      </c>
      <c r="E17" t="s">
        <v>33</v>
      </c>
    </row>
    <row r="18" spans="2:5">
      <c r="B18" t="s">
        <v>824</v>
      </c>
      <c r="E18" t="s">
        <v>34</v>
      </c>
    </row>
    <row r="19" spans="2:5">
      <c r="B19" t="s">
        <v>881</v>
      </c>
      <c r="E19" t="s">
        <v>35</v>
      </c>
    </row>
    <row r="20" spans="2:5">
      <c r="B20" t="s">
        <v>882</v>
      </c>
      <c r="E20" t="s">
        <v>36</v>
      </c>
    </row>
    <row r="21" spans="2:5">
      <c r="B21" t="s">
        <v>883</v>
      </c>
      <c r="E21" t="s">
        <v>37</v>
      </c>
    </row>
    <row r="22" spans="2:5">
      <c r="B22" t="s">
        <v>892</v>
      </c>
      <c r="E22" t="s">
        <v>38</v>
      </c>
    </row>
    <row r="23" spans="2:5">
      <c r="B23" t="s">
        <v>893</v>
      </c>
      <c r="E23" t="s">
        <v>39</v>
      </c>
    </row>
    <row r="24" spans="2:5">
      <c r="B24" t="s">
        <v>858</v>
      </c>
      <c r="E24" t="s">
        <v>40</v>
      </c>
    </row>
    <row r="25" spans="2:5">
      <c r="B25" t="s">
        <v>859</v>
      </c>
      <c r="E25" t="s">
        <v>41</v>
      </c>
    </row>
    <row r="26" spans="2:5">
      <c r="B26" t="s">
        <v>860</v>
      </c>
      <c r="E26" t="s">
        <v>42</v>
      </c>
    </row>
    <row r="27" spans="2:5">
      <c r="B27" t="s">
        <v>861</v>
      </c>
      <c r="E27" t="s">
        <v>43</v>
      </c>
    </row>
    <row r="28" spans="2:5">
      <c r="B28" t="s">
        <v>862</v>
      </c>
      <c r="E28" t="s">
        <v>44</v>
      </c>
    </row>
    <row r="29" spans="2:5">
      <c r="B29" t="s">
        <v>863</v>
      </c>
      <c r="E29" t="s">
        <v>45</v>
      </c>
    </row>
    <row r="30" spans="2:5">
      <c r="B30" t="s">
        <v>894</v>
      </c>
      <c r="E30" t="s">
        <v>46</v>
      </c>
    </row>
    <row r="31" spans="2:5">
      <c r="B31" t="s">
        <v>895</v>
      </c>
      <c r="E31" t="s">
        <v>47</v>
      </c>
    </row>
    <row r="32" spans="2:5">
      <c r="B32" t="s">
        <v>884</v>
      </c>
      <c r="E32" t="s">
        <v>42</v>
      </c>
    </row>
    <row r="33" spans="2:5">
      <c r="B33" t="s">
        <v>885</v>
      </c>
      <c r="E33" t="s">
        <v>48</v>
      </c>
    </row>
    <row r="34" spans="2:5">
      <c r="B34" t="s">
        <v>886</v>
      </c>
      <c r="E34" t="s">
        <v>49</v>
      </c>
    </row>
    <row r="35" spans="2:5">
      <c r="B35" t="s">
        <v>896</v>
      </c>
      <c r="E35" t="s">
        <v>50</v>
      </c>
    </row>
    <row r="36" spans="2:5">
      <c r="B36" t="s">
        <v>887</v>
      </c>
      <c r="E36" t="s">
        <v>51</v>
      </c>
    </row>
    <row r="37" spans="2:5">
      <c r="B37" t="s">
        <v>888</v>
      </c>
      <c r="E37" t="s">
        <v>52</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02C11-5DD5-43DA-91A4-2A152921B718}">
  <dimension ref="A1:D12"/>
  <sheetViews>
    <sheetView zoomScale="85" zoomScaleNormal="85" workbookViewId="0">
      <selection activeCell="C2" sqref="C2:C12"/>
    </sheetView>
  </sheetViews>
  <sheetFormatPr defaultRowHeight="14.4"/>
  <cols>
    <col min="2" max="2" width="50.44140625" bestFit="1" customWidth="1"/>
    <col min="3" max="3" width="49.44140625" bestFit="1" customWidth="1"/>
    <col min="4" max="4" width="52.6640625" customWidth="1"/>
  </cols>
  <sheetData>
    <row r="1" spans="1:4">
      <c r="A1" s="1" t="s">
        <v>847</v>
      </c>
      <c r="B1" s="1" t="s">
        <v>848</v>
      </c>
      <c r="C1" s="1" t="s">
        <v>849</v>
      </c>
      <c r="D1" s="1" t="s">
        <v>0</v>
      </c>
    </row>
    <row r="2" spans="1:4" ht="28.8">
      <c r="A2" t="s">
        <v>836</v>
      </c>
      <c r="B2" t="s">
        <v>825</v>
      </c>
      <c r="C2" t="s">
        <v>851</v>
      </c>
      <c r="D2" s="85" t="s">
        <v>855</v>
      </c>
    </row>
    <row r="3" spans="1:4" ht="28.8">
      <c r="A3" t="s">
        <v>837</v>
      </c>
      <c r="B3" t="s">
        <v>826</v>
      </c>
      <c r="C3" t="s">
        <v>852</v>
      </c>
      <c r="D3" s="85" t="s">
        <v>856</v>
      </c>
    </row>
    <row r="4" spans="1:4" ht="43.2">
      <c r="A4" t="s">
        <v>838</v>
      </c>
      <c r="B4" t="s">
        <v>827</v>
      </c>
      <c r="C4" t="s">
        <v>850</v>
      </c>
      <c r="D4" s="85" t="s">
        <v>857</v>
      </c>
    </row>
    <row r="5" spans="1:4" ht="43.2">
      <c r="A5" t="s">
        <v>839</v>
      </c>
      <c r="B5" t="s">
        <v>828</v>
      </c>
      <c r="C5" t="s">
        <v>853</v>
      </c>
      <c r="D5" s="85" t="s">
        <v>864</v>
      </c>
    </row>
    <row r="6" spans="1:4" ht="43.2">
      <c r="A6" t="s">
        <v>840</v>
      </c>
      <c r="B6" t="s">
        <v>829</v>
      </c>
      <c r="C6" t="s">
        <v>850</v>
      </c>
      <c r="D6" s="85" t="s">
        <v>857</v>
      </c>
    </row>
    <row r="7" spans="1:4" ht="43.2">
      <c r="A7" t="s">
        <v>841</v>
      </c>
      <c r="B7" t="s">
        <v>830</v>
      </c>
      <c r="C7" t="s">
        <v>853</v>
      </c>
      <c r="D7" s="85" t="s">
        <v>864</v>
      </c>
    </row>
    <row r="8" spans="1:4" ht="43.2">
      <c r="A8" t="s">
        <v>842</v>
      </c>
      <c r="B8" t="s">
        <v>831</v>
      </c>
      <c r="C8" t="s">
        <v>854</v>
      </c>
      <c r="D8" s="85" t="s">
        <v>865</v>
      </c>
    </row>
    <row r="9" spans="1:4" ht="43.2">
      <c r="A9" t="s">
        <v>843</v>
      </c>
      <c r="B9" t="s">
        <v>832</v>
      </c>
      <c r="C9" t="s">
        <v>854</v>
      </c>
      <c r="D9" s="85" t="s">
        <v>865</v>
      </c>
    </row>
    <row r="10" spans="1:4" ht="43.2">
      <c r="A10" t="s">
        <v>844</v>
      </c>
      <c r="B10" t="s">
        <v>833</v>
      </c>
      <c r="C10" t="s">
        <v>28</v>
      </c>
      <c r="D10" s="85" t="s">
        <v>866</v>
      </c>
    </row>
    <row r="11" spans="1:4" ht="28.8">
      <c r="A11" t="s">
        <v>845</v>
      </c>
      <c r="B11" t="s">
        <v>834</v>
      </c>
      <c r="C11" t="s">
        <v>852</v>
      </c>
      <c r="D11" s="85" t="s">
        <v>856</v>
      </c>
    </row>
    <row r="12" spans="1:4" ht="28.8">
      <c r="A12" t="s">
        <v>846</v>
      </c>
      <c r="B12" t="s">
        <v>835</v>
      </c>
      <c r="C12" t="s">
        <v>852</v>
      </c>
      <c r="D12" s="85" t="s">
        <v>856</v>
      </c>
    </row>
  </sheetData>
  <autoFilter ref="A1:D12" xr:uid="{92502C11-5DD5-43DA-91A4-2A152921B718}"/>
  <phoneticPr fontId="22" type="noConversion"/>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BE848-9002-42BE-BEA6-2552E7F0B362}">
  <dimension ref="A1:E72"/>
  <sheetViews>
    <sheetView zoomScaleNormal="100" workbookViewId="0">
      <selection activeCell="B7" sqref="B7:C12"/>
    </sheetView>
  </sheetViews>
  <sheetFormatPr defaultRowHeight="14.4"/>
  <cols>
    <col min="1" max="1" width="6" bestFit="1" customWidth="1"/>
    <col min="2" max="2" width="54.109375" bestFit="1" customWidth="1"/>
    <col min="3" max="3" width="49.44140625" bestFit="1" customWidth="1"/>
    <col min="4" max="4" width="52.6640625" customWidth="1"/>
    <col min="5" max="5" width="183.109375" bestFit="1" customWidth="1"/>
  </cols>
  <sheetData>
    <row r="1" spans="1:5">
      <c r="A1" s="93" t="s">
        <v>847</v>
      </c>
      <c r="B1" s="93" t="s">
        <v>848</v>
      </c>
      <c r="C1" s="93" t="s">
        <v>849</v>
      </c>
      <c r="D1" s="93" t="s">
        <v>0</v>
      </c>
      <c r="E1" s="93" t="s">
        <v>889</v>
      </c>
    </row>
    <row r="2" spans="1:5">
      <c r="A2" t="s">
        <v>836</v>
      </c>
      <c r="B2" t="s">
        <v>825</v>
      </c>
      <c r="C2" t="s">
        <v>851</v>
      </c>
      <c r="D2" s="85" t="s">
        <v>867</v>
      </c>
      <c r="E2" t="s">
        <v>897</v>
      </c>
    </row>
    <row r="3" spans="1:5">
      <c r="A3" t="s">
        <v>836</v>
      </c>
      <c r="B3" t="s">
        <v>825</v>
      </c>
      <c r="C3" t="s">
        <v>851</v>
      </c>
      <c r="D3" s="85" t="s">
        <v>868</v>
      </c>
      <c r="E3" t="s">
        <v>898</v>
      </c>
    </row>
    <row r="4" spans="1:5">
      <c r="A4" t="s">
        <v>836</v>
      </c>
      <c r="B4" t="s">
        <v>825</v>
      </c>
      <c r="C4" t="s">
        <v>851</v>
      </c>
      <c r="D4" s="85" t="s">
        <v>869</v>
      </c>
      <c r="E4" t="s">
        <v>899</v>
      </c>
    </row>
    <row r="5" spans="1:5">
      <c r="A5" t="s">
        <v>836</v>
      </c>
      <c r="B5" t="s">
        <v>825</v>
      </c>
      <c r="C5" t="s">
        <v>851</v>
      </c>
      <c r="D5" s="85" t="s">
        <v>870</v>
      </c>
      <c r="E5" t="s">
        <v>900</v>
      </c>
    </row>
    <row r="6" spans="1:5">
      <c r="A6" t="s">
        <v>836</v>
      </c>
      <c r="B6" t="s">
        <v>825</v>
      </c>
      <c r="C6" t="s">
        <v>851</v>
      </c>
      <c r="D6" s="85" t="s">
        <v>871</v>
      </c>
      <c r="E6" t="s">
        <v>901</v>
      </c>
    </row>
    <row r="7" spans="1:5">
      <c r="A7" t="s">
        <v>837</v>
      </c>
      <c r="B7" t="s">
        <v>826</v>
      </c>
      <c r="C7" t="s">
        <v>890</v>
      </c>
      <c r="D7" s="85" t="s">
        <v>872</v>
      </c>
      <c r="E7" t="s">
        <v>902</v>
      </c>
    </row>
    <row r="8" spans="1:5">
      <c r="A8" t="s">
        <v>837</v>
      </c>
      <c r="B8" t="s">
        <v>826</v>
      </c>
      <c r="C8" t="s">
        <v>890</v>
      </c>
      <c r="D8" s="85" t="s">
        <v>873</v>
      </c>
      <c r="E8" t="s">
        <v>903</v>
      </c>
    </row>
    <row r="9" spans="1:5">
      <c r="A9" t="s">
        <v>837</v>
      </c>
      <c r="B9" t="s">
        <v>826</v>
      </c>
      <c r="C9" t="s">
        <v>890</v>
      </c>
      <c r="D9" s="85" t="s">
        <v>874</v>
      </c>
      <c r="E9" t="s">
        <v>904</v>
      </c>
    </row>
    <row r="10" spans="1:5">
      <c r="A10" t="s">
        <v>837</v>
      </c>
      <c r="B10" t="s">
        <v>826</v>
      </c>
      <c r="C10" t="s">
        <v>890</v>
      </c>
      <c r="D10" s="85" t="s">
        <v>875</v>
      </c>
      <c r="E10" t="s">
        <v>905</v>
      </c>
    </row>
    <row r="11" spans="1:5">
      <c r="A11" t="s">
        <v>837</v>
      </c>
      <c r="B11" t="s">
        <v>826</v>
      </c>
      <c r="C11" t="s">
        <v>890</v>
      </c>
      <c r="D11" s="85" t="s">
        <v>876</v>
      </c>
      <c r="E11" t="s">
        <v>906</v>
      </c>
    </row>
    <row r="12" spans="1:5">
      <c r="A12" t="s">
        <v>837</v>
      </c>
      <c r="B12" t="s">
        <v>826</v>
      </c>
      <c r="C12" t="s">
        <v>890</v>
      </c>
      <c r="D12" s="85" t="s">
        <v>891</v>
      </c>
      <c r="E12" t="s">
        <v>907</v>
      </c>
    </row>
    <row r="13" spans="1:5">
      <c r="A13" t="s">
        <v>838</v>
      </c>
      <c r="B13" t="s">
        <v>827</v>
      </c>
      <c r="C13" t="s">
        <v>850</v>
      </c>
      <c r="D13" s="85" t="s">
        <v>877</v>
      </c>
      <c r="E13" t="s">
        <v>908</v>
      </c>
    </row>
    <row r="14" spans="1:5">
      <c r="A14" t="s">
        <v>838</v>
      </c>
      <c r="B14" t="s">
        <v>827</v>
      </c>
      <c r="C14" t="s">
        <v>850</v>
      </c>
      <c r="D14" s="85" t="s">
        <v>878</v>
      </c>
      <c r="E14" t="s">
        <v>909</v>
      </c>
    </row>
    <row r="15" spans="1:5">
      <c r="A15" t="s">
        <v>838</v>
      </c>
      <c r="B15" t="s">
        <v>827</v>
      </c>
      <c r="C15" t="s">
        <v>850</v>
      </c>
      <c r="D15" s="85" t="s">
        <v>879</v>
      </c>
      <c r="E15" t="s">
        <v>910</v>
      </c>
    </row>
    <row r="16" spans="1:5">
      <c r="A16" t="s">
        <v>838</v>
      </c>
      <c r="B16" t="s">
        <v>827</v>
      </c>
      <c r="C16" t="s">
        <v>850</v>
      </c>
      <c r="D16" s="85" t="s">
        <v>402</v>
      </c>
      <c r="E16" t="s">
        <v>911</v>
      </c>
    </row>
    <row r="17" spans="1:5">
      <c r="A17" t="s">
        <v>838</v>
      </c>
      <c r="B17" t="s">
        <v>827</v>
      </c>
      <c r="C17" t="s">
        <v>850</v>
      </c>
      <c r="D17" s="85" t="s">
        <v>880</v>
      </c>
      <c r="E17" t="s">
        <v>912</v>
      </c>
    </row>
    <row r="18" spans="1:5">
      <c r="A18" t="s">
        <v>839</v>
      </c>
      <c r="B18" t="s">
        <v>828</v>
      </c>
      <c r="C18" t="s">
        <v>853</v>
      </c>
      <c r="D18" s="85" t="s">
        <v>824</v>
      </c>
      <c r="E18" t="s">
        <v>913</v>
      </c>
    </row>
    <row r="19" spans="1:5">
      <c r="A19" t="s">
        <v>839</v>
      </c>
      <c r="B19" t="s">
        <v>828</v>
      </c>
      <c r="C19" t="s">
        <v>853</v>
      </c>
      <c r="D19" s="85" t="s">
        <v>881</v>
      </c>
      <c r="E19" t="s">
        <v>914</v>
      </c>
    </row>
    <row r="20" spans="1:5">
      <c r="A20" t="s">
        <v>839</v>
      </c>
      <c r="B20" t="s">
        <v>828</v>
      </c>
      <c r="C20" t="s">
        <v>853</v>
      </c>
      <c r="D20" s="85" t="s">
        <v>882</v>
      </c>
      <c r="E20" t="s">
        <v>915</v>
      </c>
    </row>
    <row r="21" spans="1:5">
      <c r="A21" t="s">
        <v>839</v>
      </c>
      <c r="B21" t="s">
        <v>828</v>
      </c>
      <c r="C21" t="s">
        <v>853</v>
      </c>
      <c r="D21" s="85" t="s">
        <v>883</v>
      </c>
      <c r="E21" t="s">
        <v>916</v>
      </c>
    </row>
    <row r="22" spans="1:5">
      <c r="A22" t="s">
        <v>839</v>
      </c>
      <c r="B22" t="s">
        <v>828</v>
      </c>
      <c r="C22" t="s">
        <v>853</v>
      </c>
      <c r="D22" s="85" t="s">
        <v>892</v>
      </c>
      <c r="E22" t="s">
        <v>917</v>
      </c>
    </row>
    <row r="23" spans="1:5">
      <c r="A23" t="s">
        <v>839</v>
      </c>
      <c r="B23" t="s">
        <v>828</v>
      </c>
      <c r="C23" t="s">
        <v>853</v>
      </c>
      <c r="D23" s="85" t="s">
        <v>893</v>
      </c>
      <c r="E23" t="s">
        <v>918</v>
      </c>
    </row>
    <row r="24" spans="1:5">
      <c r="A24" t="s">
        <v>840</v>
      </c>
      <c r="B24" t="s">
        <v>829</v>
      </c>
      <c r="C24" t="s">
        <v>850</v>
      </c>
      <c r="D24" s="85" t="s">
        <v>877</v>
      </c>
      <c r="E24" t="s">
        <v>908</v>
      </c>
    </row>
    <row r="25" spans="1:5">
      <c r="A25" t="s">
        <v>840</v>
      </c>
      <c r="B25" t="s">
        <v>829</v>
      </c>
      <c r="C25" t="s">
        <v>850</v>
      </c>
      <c r="D25" s="85" t="s">
        <v>878</v>
      </c>
      <c r="E25" t="s">
        <v>909</v>
      </c>
    </row>
    <row r="26" spans="1:5">
      <c r="A26" t="s">
        <v>840</v>
      </c>
      <c r="B26" t="s">
        <v>829</v>
      </c>
      <c r="C26" t="s">
        <v>850</v>
      </c>
      <c r="D26" s="85" t="s">
        <v>879</v>
      </c>
      <c r="E26" t="s">
        <v>910</v>
      </c>
    </row>
    <row r="27" spans="1:5">
      <c r="A27" t="s">
        <v>840</v>
      </c>
      <c r="B27" t="s">
        <v>829</v>
      </c>
      <c r="C27" t="s">
        <v>850</v>
      </c>
      <c r="D27" s="85" t="s">
        <v>402</v>
      </c>
      <c r="E27" t="s">
        <v>911</v>
      </c>
    </row>
    <row r="28" spans="1:5">
      <c r="A28" t="s">
        <v>840</v>
      </c>
      <c r="B28" t="s">
        <v>829</v>
      </c>
      <c r="C28" t="s">
        <v>850</v>
      </c>
      <c r="D28" s="85" t="s">
        <v>880</v>
      </c>
      <c r="E28" t="s">
        <v>912</v>
      </c>
    </row>
    <row r="29" spans="1:5">
      <c r="A29" t="s">
        <v>841</v>
      </c>
      <c r="B29" t="s">
        <v>830</v>
      </c>
      <c r="C29" t="s">
        <v>853</v>
      </c>
      <c r="D29" s="85" t="s">
        <v>824</v>
      </c>
      <c r="E29" t="s">
        <v>913</v>
      </c>
    </row>
    <row r="30" spans="1:5">
      <c r="A30" t="s">
        <v>841</v>
      </c>
      <c r="B30" t="s">
        <v>830</v>
      </c>
      <c r="C30" t="s">
        <v>853</v>
      </c>
      <c r="D30" s="85" t="s">
        <v>881</v>
      </c>
      <c r="E30" t="s">
        <v>914</v>
      </c>
    </row>
    <row r="31" spans="1:5">
      <c r="A31" t="s">
        <v>841</v>
      </c>
      <c r="B31" t="s">
        <v>830</v>
      </c>
      <c r="C31" t="s">
        <v>853</v>
      </c>
      <c r="D31" s="85" t="s">
        <v>882</v>
      </c>
      <c r="E31" t="s">
        <v>915</v>
      </c>
    </row>
    <row r="32" spans="1:5">
      <c r="A32" t="s">
        <v>841</v>
      </c>
      <c r="B32" t="s">
        <v>830</v>
      </c>
      <c r="C32" t="s">
        <v>853</v>
      </c>
      <c r="D32" s="85" t="s">
        <v>883</v>
      </c>
      <c r="E32" t="s">
        <v>916</v>
      </c>
    </row>
    <row r="33" spans="1:5">
      <c r="A33" t="s">
        <v>841</v>
      </c>
      <c r="B33" t="s">
        <v>830</v>
      </c>
      <c r="C33" t="s">
        <v>853</v>
      </c>
      <c r="D33" s="85" t="s">
        <v>892</v>
      </c>
      <c r="E33" t="s">
        <v>917</v>
      </c>
    </row>
    <row r="34" spans="1:5">
      <c r="A34" t="s">
        <v>841</v>
      </c>
      <c r="B34" t="s">
        <v>830</v>
      </c>
      <c r="C34" t="s">
        <v>853</v>
      </c>
      <c r="D34" s="85" t="s">
        <v>893</v>
      </c>
      <c r="E34" t="s">
        <v>918</v>
      </c>
    </row>
    <row r="35" spans="1:5">
      <c r="A35" t="s">
        <v>842</v>
      </c>
      <c r="B35" t="s">
        <v>831</v>
      </c>
      <c r="C35" t="s">
        <v>854</v>
      </c>
      <c r="D35" s="85" t="s">
        <v>858</v>
      </c>
      <c r="E35" t="s">
        <v>919</v>
      </c>
    </row>
    <row r="36" spans="1:5">
      <c r="A36" t="s">
        <v>842</v>
      </c>
      <c r="B36" t="s">
        <v>831</v>
      </c>
      <c r="C36" t="s">
        <v>854</v>
      </c>
      <c r="D36" s="85" t="s">
        <v>859</v>
      </c>
      <c r="E36" t="s">
        <v>920</v>
      </c>
    </row>
    <row r="37" spans="1:5">
      <c r="A37" t="s">
        <v>842</v>
      </c>
      <c r="B37" t="s">
        <v>831</v>
      </c>
      <c r="C37" t="s">
        <v>854</v>
      </c>
      <c r="D37" s="85" t="s">
        <v>860</v>
      </c>
      <c r="E37" t="s">
        <v>921</v>
      </c>
    </row>
    <row r="38" spans="1:5">
      <c r="A38" t="s">
        <v>842</v>
      </c>
      <c r="B38" t="s">
        <v>831</v>
      </c>
      <c r="C38" t="s">
        <v>854</v>
      </c>
      <c r="D38" s="85" t="s">
        <v>861</v>
      </c>
      <c r="E38" t="s">
        <v>922</v>
      </c>
    </row>
    <row r="39" spans="1:5">
      <c r="A39" t="s">
        <v>842</v>
      </c>
      <c r="B39" t="s">
        <v>831</v>
      </c>
      <c r="C39" t="s">
        <v>854</v>
      </c>
      <c r="D39" s="85" t="s">
        <v>862</v>
      </c>
      <c r="E39" t="s">
        <v>923</v>
      </c>
    </row>
    <row r="40" spans="1:5">
      <c r="A40" t="s">
        <v>842</v>
      </c>
      <c r="B40" t="s">
        <v>831</v>
      </c>
      <c r="C40" t="s">
        <v>854</v>
      </c>
      <c r="D40" s="85" t="s">
        <v>863</v>
      </c>
      <c r="E40" t="s">
        <v>924</v>
      </c>
    </row>
    <row r="41" spans="1:5">
      <c r="A41" t="s">
        <v>842</v>
      </c>
      <c r="B41" t="s">
        <v>831</v>
      </c>
      <c r="C41" t="s">
        <v>854</v>
      </c>
      <c r="D41" s="85" t="s">
        <v>894</v>
      </c>
      <c r="E41" t="s">
        <v>925</v>
      </c>
    </row>
    <row r="42" spans="1:5">
      <c r="A42" t="s">
        <v>842</v>
      </c>
      <c r="B42" t="s">
        <v>831</v>
      </c>
      <c r="C42" t="s">
        <v>854</v>
      </c>
      <c r="D42" s="85" t="s">
        <v>895</v>
      </c>
      <c r="E42" t="s">
        <v>926</v>
      </c>
    </row>
    <row r="43" spans="1:5">
      <c r="A43" t="s">
        <v>843</v>
      </c>
      <c r="B43" t="s">
        <v>832</v>
      </c>
      <c r="C43" t="s">
        <v>854</v>
      </c>
      <c r="D43" s="85" t="s">
        <v>858</v>
      </c>
      <c r="E43" t="s">
        <v>919</v>
      </c>
    </row>
    <row r="44" spans="1:5">
      <c r="A44" t="s">
        <v>843</v>
      </c>
      <c r="B44" t="s">
        <v>832</v>
      </c>
      <c r="C44" t="s">
        <v>854</v>
      </c>
      <c r="D44" s="85" t="s">
        <v>859</v>
      </c>
      <c r="E44" t="s">
        <v>920</v>
      </c>
    </row>
    <row r="45" spans="1:5">
      <c r="A45" t="s">
        <v>843</v>
      </c>
      <c r="B45" t="s">
        <v>832</v>
      </c>
      <c r="C45" t="s">
        <v>854</v>
      </c>
      <c r="D45" s="85" t="s">
        <v>860</v>
      </c>
      <c r="E45" t="s">
        <v>921</v>
      </c>
    </row>
    <row r="46" spans="1:5">
      <c r="A46" t="s">
        <v>843</v>
      </c>
      <c r="B46" t="s">
        <v>832</v>
      </c>
      <c r="C46" t="s">
        <v>854</v>
      </c>
      <c r="D46" s="85" t="s">
        <v>861</v>
      </c>
      <c r="E46" t="s">
        <v>922</v>
      </c>
    </row>
    <row r="47" spans="1:5">
      <c r="A47" t="s">
        <v>843</v>
      </c>
      <c r="B47" t="s">
        <v>832</v>
      </c>
      <c r="C47" t="s">
        <v>854</v>
      </c>
      <c r="D47" s="85" t="s">
        <v>862</v>
      </c>
      <c r="E47" t="s">
        <v>923</v>
      </c>
    </row>
    <row r="48" spans="1:5">
      <c r="A48" t="s">
        <v>843</v>
      </c>
      <c r="B48" t="s">
        <v>832</v>
      </c>
      <c r="C48" t="s">
        <v>854</v>
      </c>
      <c r="D48" s="85" t="s">
        <v>863</v>
      </c>
      <c r="E48" t="s">
        <v>924</v>
      </c>
    </row>
    <row r="49" spans="1:5">
      <c r="A49" t="s">
        <v>843</v>
      </c>
      <c r="B49" t="s">
        <v>832</v>
      </c>
      <c r="C49" t="s">
        <v>854</v>
      </c>
      <c r="D49" s="85" t="s">
        <v>894</v>
      </c>
      <c r="E49" t="s">
        <v>925</v>
      </c>
    </row>
    <row r="50" spans="1:5">
      <c r="A50" t="s">
        <v>843</v>
      </c>
      <c r="B50" t="s">
        <v>832</v>
      </c>
      <c r="C50" t="s">
        <v>854</v>
      </c>
      <c r="D50" s="85" t="s">
        <v>895</v>
      </c>
      <c r="E50" t="s">
        <v>926</v>
      </c>
    </row>
    <row r="51" spans="1:5">
      <c r="A51" t="s">
        <v>844</v>
      </c>
      <c r="B51" t="s">
        <v>833</v>
      </c>
      <c r="C51" t="s">
        <v>28</v>
      </c>
      <c r="D51" s="85" t="s">
        <v>884</v>
      </c>
      <c r="E51" t="s">
        <v>927</v>
      </c>
    </row>
    <row r="52" spans="1:5">
      <c r="A52" t="s">
        <v>844</v>
      </c>
      <c r="B52" t="s">
        <v>833</v>
      </c>
      <c r="C52" t="s">
        <v>28</v>
      </c>
      <c r="D52" s="85" t="s">
        <v>885</v>
      </c>
      <c r="E52" t="s">
        <v>928</v>
      </c>
    </row>
    <row r="53" spans="1:5">
      <c r="A53" t="s">
        <v>844</v>
      </c>
      <c r="B53" t="s">
        <v>833</v>
      </c>
      <c r="C53" t="s">
        <v>28</v>
      </c>
      <c r="D53" s="85" t="s">
        <v>886</v>
      </c>
      <c r="E53" t="s">
        <v>929</v>
      </c>
    </row>
    <row r="54" spans="1:5">
      <c r="A54" t="s">
        <v>844</v>
      </c>
      <c r="B54" t="s">
        <v>833</v>
      </c>
      <c r="C54" t="s">
        <v>28</v>
      </c>
      <c r="D54" s="85" t="s">
        <v>896</v>
      </c>
      <c r="E54" t="s">
        <v>930</v>
      </c>
    </row>
    <row r="55" spans="1:5">
      <c r="A55" t="s">
        <v>844</v>
      </c>
      <c r="B55" t="s">
        <v>833</v>
      </c>
      <c r="C55" t="s">
        <v>28</v>
      </c>
      <c r="D55" s="85" t="s">
        <v>887</v>
      </c>
      <c r="E55" t="s">
        <v>931</v>
      </c>
    </row>
    <row r="56" spans="1:5">
      <c r="A56" t="s">
        <v>844</v>
      </c>
      <c r="B56" t="s">
        <v>833</v>
      </c>
      <c r="C56" t="s">
        <v>28</v>
      </c>
      <c r="D56" s="85" t="s">
        <v>888</v>
      </c>
      <c r="E56" t="s">
        <v>932</v>
      </c>
    </row>
    <row r="57" spans="1:5">
      <c r="A57" t="s">
        <v>845</v>
      </c>
      <c r="B57" t="s">
        <v>834</v>
      </c>
      <c r="C57" t="s">
        <v>890</v>
      </c>
      <c r="D57" s="85" t="s">
        <v>872</v>
      </c>
      <c r="E57" t="s">
        <v>902</v>
      </c>
    </row>
    <row r="58" spans="1:5">
      <c r="A58" t="s">
        <v>845</v>
      </c>
      <c r="B58" t="s">
        <v>834</v>
      </c>
      <c r="C58" t="s">
        <v>890</v>
      </c>
      <c r="D58" s="85" t="s">
        <v>873</v>
      </c>
      <c r="E58" t="s">
        <v>903</v>
      </c>
    </row>
    <row r="59" spans="1:5">
      <c r="A59" t="s">
        <v>845</v>
      </c>
      <c r="B59" t="s">
        <v>834</v>
      </c>
      <c r="C59" t="s">
        <v>890</v>
      </c>
      <c r="D59" s="85" t="s">
        <v>874</v>
      </c>
      <c r="E59" t="s">
        <v>904</v>
      </c>
    </row>
    <row r="60" spans="1:5">
      <c r="A60" t="s">
        <v>845</v>
      </c>
      <c r="B60" t="s">
        <v>834</v>
      </c>
      <c r="C60" t="s">
        <v>890</v>
      </c>
      <c r="D60" s="85" t="s">
        <v>875</v>
      </c>
      <c r="E60" t="s">
        <v>905</v>
      </c>
    </row>
    <row r="61" spans="1:5">
      <c r="A61" t="s">
        <v>845</v>
      </c>
      <c r="B61" t="s">
        <v>834</v>
      </c>
      <c r="C61" t="s">
        <v>890</v>
      </c>
      <c r="D61" s="85" t="s">
        <v>876</v>
      </c>
      <c r="E61" t="s">
        <v>906</v>
      </c>
    </row>
    <row r="62" spans="1:5">
      <c r="A62" t="s">
        <v>845</v>
      </c>
      <c r="B62" t="s">
        <v>834</v>
      </c>
      <c r="C62" t="s">
        <v>890</v>
      </c>
      <c r="D62" s="85" t="s">
        <v>891</v>
      </c>
      <c r="E62" t="s">
        <v>907</v>
      </c>
    </row>
    <row r="63" spans="1:5">
      <c r="A63" t="s">
        <v>846</v>
      </c>
      <c r="B63" t="s">
        <v>835</v>
      </c>
      <c r="C63" t="s">
        <v>890</v>
      </c>
      <c r="D63" s="85" t="s">
        <v>872</v>
      </c>
      <c r="E63" t="s">
        <v>902</v>
      </c>
    </row>
    <row r="64" spans="1:5">
      <c r="A64" t="s">
        <v>846</v>
      </c>
      <c r="B64" t="s">
        <v>835</v>
      </c>
      <c r="C64" t="s">
        <v>890</v>
      </c>
      <c r="D64" s="85" t="s">
        <v>873</v>
      </c>
      <c r="E64" t="s">
        <v>903</v>
      </c>
    </row>
    <row r="65" spans="1:5">
      <c r="A65" t="s">
        <v>846</v>
      </c>
      <c r="B65" t="s">
        <v>835</v>
      </c>
      <c r="C65" t="s">
        <v>890</v>
      </c>
      <c r="D65" s="85" t="s">
        <v>874</v>
      </c>
      <c r="E65" t="s">
        <v>904</v>
      </c>
    </row>
    <row r="66" spans="1:5">
      <c r="A66" t="s">
        <v>846</v>
      </c>
      <c r="B66" t="s">
        <v>835</v>
      </c>
      <c r="C66" t="s">
        <v>890</v>
      </c>
      <c r="D66" s="85" t="s">
        <v>875</v>
      </c>
      <c r="E66" t="s">
        <v>905</v>
      </c>
    </row>
    <row r="67" spans="1:5">
      <c r="A67" t="s">
        <v>846</v>
      </c>
      <c r="B67" t="s">
        <v>835</v>
      </c>
      <c r="C67" t="s">
        <v>890</v>
      </c>
      <c r="D67" s="85" t="s">
        <v>876</v>
      </c>
      <c r="E67" t="s">
        <v>906</v>
      </c>
    </row>
    <row r="68" spans="1:5">
      <c r="A68" t="s">
        <v>846</v>
      </c>
      <c r="B68" t="s">
        <v>835</v>
      </c>
      <c r="C68" t="s">
        <v>890</v>
      </c>
      <c r="D68" s="85" t="s">
        <v>891</v>
      </c>
      <c r="E68" t="s">
        <v>907</v>
      </c>
    </row>
    <row r="72" spans="1:5">
      <c r="D72" s="85"/>
    </row>
  </sheetData>
  <phoneticPr fontId="22" type="noConversion"/>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A8FDE-9FC3-4965-894D-8BCE75F41ED4}">
  <sheetPr>
    <tabColor theme="9" tint="0.79998168889431442"/>
  </sheetPr>
  <dimension ref="A1:A23"/>
  <sheetViews>
    <sheetView zoomScale="85" zoomScaleNormal="85" workbookViewId="0">
      <selection sqref="A1:A24"/>
    </sheetView>
  </sheetViews>
  <sheetFormatPr defaultRowHeight="14.4"/>
  <cols>
    <col min="1" max="1" width="43.109375" bestFit="1" customWidth="1"/>
  </cols>
  <sheetData>
    <row r="1" spans="1:1">
      <c r="A1" s="1" t="s">
        <v>53</v>
      </c>
    </row>
    <row r="2" spans="1:1">
      <c r="A2" s="93" t="s">
        <v>1399</v>
      </c>
    </row>
    <row r="3" spans="1:1">
      <c r="A3" s="88" t="s">
        <v>937</v>
      </c>
    </row>
    <row r="4" spans="1:1">
      <c r="A4" s="78" t="s">
        <v>933</v>
      </c>
    </row>
    <row r="5" spans="1:1">
      <c r="A5" s="79"/>
    </row>
    <row r="6" spans="1:1">
      <c r="A6" s="93" t="s">
        <v>54</v>
      </c>
    </row>
    <row r="7" spans="1:1">
      <c r="A7" s="88" t="s">
        <v>936</v>
      </c>
    </row>
    <row r="8" spans="1:1" ht="26.4">
      <c r="A8" s="81" t="s">
        <v>934</v>
      </c>
    </row>
    <row r="9" spans="1:1">
      <c r="A9" s="79"/>
    </row>
    <row r="10" spans="1:1">
      <c r="A10" s="93" t="s">
        <v>942</v>
      </c>
    </row>
    <row r="11" spans="1:1">
      <c r="A11" s="88" t="s">
        <v>935</v>
      </c>
    </row>
    <row r="12" spans="1:1">
      <c r="A12" s="78" t="s">
        <v>890</v>
      </c>
    </row>
    <row r="14" spans="1:1">
      <c r="A14" s="93" t="s">
        <v>943</v>
      </c>
    </row>
    <row r="15" spans="1:1">
      <c r="A15" s="88" t="s">
        <v>938</v>
      </c>
    </row>
    <row r="16" spans="1:1">
      <c r="A16" t="s">
        <v>891</v>
      </c>
    </row>
    <row r="18" spans="1:1">
      <c r="A18" s="93" t="s">
        <v>57</v>
      </c>
    </row>
    <row r="19" spans="1:1">
      <c r="A19" s="88" t="s">
        <v>939</v>
      </c>
    </row>
    <row r="20" spans="1:1">
      <c r="A20" s="5" t="s">
        <v>978</v>
      </c>
    </row>
    <row r="21" spans="1:1">
      <c r="A21" s="5"/>
    </row>
    <row r="22" spans="1:1">
      <c r="A22" s="80" t="s">
        <v>940</v>
      </c>
    </row>
    <row r="23" spans="1:1">
      <c r="A23" s="88" t="s">
        <v>941</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08BFF-D7DD-4961-A95D-A3C80B05F1ED}">
  <sheetPr>
    <tabColor theme="9" tint="0.79998168889431442"/>
  </sheetPr>
  <dimension ref="A1:B177"/>
  <sheetViews>
    <sheetView topLeftCell="A33" zoomScale="70" zoomScaleNormal="70" workbookViewId="0">
      <selection activeCell="A47" sqref="A47:A55"/>
    </sheetView>
  </sheetViews>
  <sheetFormatPr defaultRowHeight="14.4"/>
  <cols>
    <col min="1" max="1" width="44.33203125" style="95" bestFit="1" customWidth="1"/>
    <col min="2" max="2" width="73.6640625" bestFit="1" customWidth="1"/>
  </cols>
  <sheetData>
    <row r="1" spans="1:2">
      <c r="A1" s="93" t="s">
        <v>998</v>
      </c>
      <c r="B1" s="89" t="s">
        <v>59</v>
      </c>
    </row>
    <row r="2" spans="1:2" ht="43.2">
      <c r="A2" s="94" t="s">
        <v>890</v>
      </c>
      <c r="B2" s="91" t="s">
        <v>1000</v>
      </c>
    </row>
    <row r="3" spans="1:2" ht="43.2">
      <c r="A3" s="92" t="s">
        <v>850</v>
      </c>
      <c r="B3" s="90" t="s">
        <v>1001</v>
      </c>
    </row>
    <row r="4" spans="1:2" ht="43.2">
      <c r="A4" s="94" t="s">
        <v>853</v>
      </c>
      <c r="B4" s="91" t="s">
        <v>1002</v>
      </c>
    </row>
    <row r="5" spans="1:2" ht="43.2">
      <c r="A5" s="92" t="s">
        <v>854</v>
      </c>
      <c r="B5" s="90" t="s">
        <v>1003</v>
      </c>
    </row>
    <row r="6" spans="1:2" ht="43.2">
      <c r="A6" s="94" t="s">
        <v>28</v>
      </c>
      <c r="B6" s="91" t="s">
        <v>1004</v>
      </c>
    </row>
    <row r="7" spans="1:2">
      <c r="A7" s="94"/>
      <c r="B7" s="91"/>
    </row>
    <row r="8" spans="1:2">
      <c r="A8" s="93" t="s">
        <v>58</v>
      </c>
      <c r="B8" s="89" t="s">
        <v>59</v>
      </c>
    </row>
    <row r="9" spans="1:2">
      <c r="A9" s="94" t="s">
        <v>867</v>
      </c>
      <c r="B9" s="91" t="s">
        <v>944</v>
      </c>
    </row>
    <row r="10" spans="1:2">
      <c r="A10" s="92" t="s">
        <v>868</v>
      </c>
      <c r="B10" s="90" t="s">
        <v>945</v>
      </c>
    </row>
    <row r="11" spans="1:2">
      <c r="A11" s="94" t="s">
        <v>869</v>
      </c>
      <c r="B11" s="91" t="s">
        <v>946</v>
      </c>
    </row>
    <row r="12" spans="1:2" ht="28.8">
      <c r="A12" s="92" t="s">
        <v>870</v>
      </c>
      <c r="B12" s="90" t="s">
        <v>996</v>
      </c>
    </row>
    <row r="13" spans="1:2">
      <c r="A13" s="94" t="s">
        <v>871</v>
      </c>
      <c r="B13" s="91" t="s">
        <v>997</v>
      </c>
    </row>
    <row r="14" spans="1:2">
      <c r="A14" s="92" t="s">
        <v>872</v>
      </c>
      <c r="B14" s="90" t="s">
        <v>947</v>
      </c>
    </row>
    <row r="15" spans="1:2">
      <c r="A15" s="94" t="s">
        <v>873</v>
      </c>
      <c r="B15" s="91" t="s">
        <v>948</v>
      </c>
    </row>
    <row r="16" spans="1:2">
      <c r="A16" s="92" t="s">
        <v>874</v>
      </c>
      <c r="B16" s="90" t="s">
        <v>949</v>
      </c>
    </row>
    <row r="17" spans="1:2">
      <c r="A17" s="94" t="s">
        <v>875</v>
      </c>
      <c r="B17" s="91" t="s">
        <v>950</v>
      </c>
    </row>
    <row r="18" spans="1:2">
      <c r="A18" s="92" t="s">
        <v>876</v>
      </c>
      <c r="B18" s="90" t="s">
        <v>952</v>
      </c>
    </row>
    <row r="19" spans="1:2">
      <c r="A19" s="94" t="s">
        <v>891</v>
      </c>
      <c r="B19" s="91" t="s">
        <v>951</v>
      </c>
    </row>
    <row r="20" spans="1:2">
      <c r="A20" s="92" t="s">
        <v>877</v>
      </c>
      <c r="B20" s="90" t="s">
        <v>953</v>
      </c>
    </row>
    <row r="21" spans="1:2">
      <c r="A21" s="94" t="s">
        <v>878</v>
      </c>
      <c r="B21" s="91" t="s">
        <v>954</v>
      </c>
    </row>
    <row r="22" spans="1:2" ht="28.8">
      <c r="A22" s="92" t="s">
        <v>879</v>
      </c>
      <c r="B22" s="90" t="s">
        <v>955</v>
      </c>
    </row>
    <row r="23" spans="1:2">
      <c r="A23" s="94" t="s">
        <v>402</v>
      </c>
      <c r="B23" s="91" t="s">
        <v>956</v>
      </c>
    </row>
    <row r="24" spans="1:2">
      <c r="A24" s="92" t="s">
        <v>880</v>
      </c>
      <c r="B24" s="90" t="s">
        <v>957</v>
      </c>
    </row>
    <row r="25" spans="1:2">
      <c r="A25" s="94" t="s">
        <v>824</v>
      </c>
      <c r="B25" s="91" t="s">
        <v>958</v>
      </c>
    </row>
    <row r="26" spans="1:2">
      <c r="A26" s="92" t="s">
        <v>881</v>
      </c>
      <c r="B26" s="90" t="s">
        <v>959</v>
      </c>
    </row>
    <row r="27" spans="1:2">
      <c r="A27" s="94" t="s">
        <v>882</v>
      </c>
      <c r="B27" s="91" t="s">
        <v>960</v>
      </c>
    </row>
    <row r="28" spans="1:2">
      <c r="A28" s="92" t="s">
        <v>883</v>
      </c>
      <c r="B28" s="90" t="s">
        <v>961</v>
      </c>
    </row>
    <row r="29" spans="1:2">
      <c r="A29" s="94" t="s">
        <v>892</v>
      </c>
      <c r="B29" s="91" t="s">
        <v>962</v>
      </c>
    </row>
    <row r="30" spans="1:2">
      <c r="A30" s="92" t="s">
        <v>893</v>
      </c>
      <c r="B30" s="90" t="s">
        <v>963</v>
      </c>
    </row>
    <row r="31" spans="1:2" ht="28.8">
      <c r="A31" s="94" t="s">
        <v>858</v>
      </c>
      <c r="B31" s="91" t="s">
        <v>964</v>
      </c>
    </row>
    <row r="32" spans="1:2">
      <c r="A32" s="92" t="s">
        <v>859</v>
      </c>
      <c r="B32" s="90" t="s">
        <v>965</v>
      </c>
    </row>
    <row r="33" spans="1:2">
      <c r="A33" s="94" t="s">
        <v>860</v>
      </c>
      <c r="B33" s="91" t="s">
        <v>966</v>
      </c>
    </row>
    <row r="34" spans="1:2">
      <c r="A34" s="92" t="s">
        <v>861</v>
      </c>
      <c r="B34" s="90" t="s">
        <v>967</v>
      </c>
    </row>
    <row r="35" spans="1:2">
      <c r="A35" s="94" t="s">
        <v>862</v>
      </c>
      <c r="B35" s="91" t="s">
        <v>968</v>
      </c>
    </row>
    <row r="36" spans="1:2">
      <c r="A36" s="92" t="s">
        <v>863</v>
      </c>
      <c r="B36" s="90" t="s">
        <v>969</v>
      </c>
    </row>
    <row r="37" spans="1:2">
      <c r="A37" s="94" t="s">
        <v>894</v>
      </c>
      <c r="B37" s="91" t="s">
        <v>970</v>
      </c>
    </row>
    <row r="38" spans="1:2">
      <c r="A38" s="92" t="s">
        <v>895</v>
      </c>
      <c r="B38" s="90" t="s">
        <v>971</v>
      </c>
    </row>
    <row r="39" spans="1:2">
      <c r="A39" s="94" t="s">
        <v>884</v>
      </c>
      <c r="B39" s="91" t="s">
        <v>972</v>
      </c>
    </row>
    <row r="40" spans="1:2">
      <c r="A40" s="92" t="s">
        <v>885</v>
      </c>
      <c r="B40" s="90" t="s">
        <v>973</v>
      </c>
    </row>
    <row r="41" spans="1:2">
      <c r="A41" s="94" t="s">
        <v>886</v>
      </c>
      <c r="B41" s="91" t="s">
        <v>974</v>
      </c>
    </row>
    <row r="42" spans="1:2">
      <c r="A42" s="92" t="s">
        <v>896</v>
      </c>
      <c r="B42" s="90" t="s">
        <v>975</v>
      </c>
    </row>
    <row r="43" spans="1:2">
      <c r="A43" s="94" t="s">
        <v>887</v>
      </c>
      <c r="B43" s="91" t="s">
        <v>976</v>
      </c>
    </row>
    <row r="44" spans="1:2">
      <c r="A44" s="92" t="s">
        <v>888</v>
      </c>
      <c r="B44" s="90" t="s">
        <v>977</v>
      </c>
    </row>
    <row r="45" spans="1:2">
      <c r="A45" s="94"/>
      <c r="B45" s="91"/>
    </row>
    <row r="46" spans="1:2">
      <c r="A46" s="93" t="s">
        <v>120</v>
      </c>
      <c r="B46" s="89" t="s">
        <v>59</v>
      </c>
    </row>
    <row r="47" spans="1:2" ht="28.8">
      <c r="A47" s="94" t="s">
        <v>978</v>
      </c>
      <c r="B47" s="91" t="s">
        <v>979</v>
      </c>
    </row>
    <row r="48" spans="1:2" ht="28.8">
      <c r="A48" s="92" t="s">
        <v>980</v>
      </c>
      <c r="B48" s="90" t="s">
        <v>981</v>
      </c>
    </row>
    <row r="49" spans="1:2" ht="28.8">
      <c r="A49" s="94" t="s">
        <v>982</v>
      </c>
      <c r="B49" s="91" t="s">
        <v>983</v>
      </c>
    </row>
    <row r="50" spans="1:2" ht="28.8">
      <c r="A50" s="92" t="s">
        <v>984</v>
      </c>
      <c r="B50" s="90" t="s">
        <v>985</v>
      </c>
    </row>
    <row r="51" spans="1:2" ht="28.8">
      <c r="A51" s="94" t="s">
        <v>986</v>
      </c>
      <c r="B51" s="91" t="s">
        <v>987</v>
      </c>
    </row>
    <row r="52" spans="1:2" ht="28.8">
      <c r="A52" s="92" t="s">
        <v>988</v>
      </c>
      <c r="B52" s="90" t="s">
        <v>989</v>
      </c>
    </row>
    <row r="53" spans="1:2" ht="28.8">
      <c r="A53" s="94" t="s">
        <v>990</v>
      </c>
      <c r="B53" s="91" t="s">
        <v>991</v>
      </c>
    </row>
    <row r="54" spans="1:2" ht="28.8">
      <c r="A54" s="92" t="s">
        <v>992</v>
      </c>
      <c r="B54" s="90" t="s">
        <v>993</v>
      </c>
    </row>
    <row r="55" spans="1:2" ht="28.8">
      <c r="A55" s="94" t="s">
        <v>994</v>
      </c>
      <c r="B55" s="91" t="s">
        <v>995</v>
      </c>
    </row>
    <row r="56" spans="1:2">
      <c r="A56" s="92"/>
      <c r="B56" s="90"/>
    </row>
    <row r="57" spans="1:2">
      <c r="A57" s="94"/>
      <c r="B57" s="91"/>
    </row>
    <row r="58" spans="1:2">
      <c r="A58" s="92"/>
      <c r="B58" s="90"/>
    </row>
    <row r="59" spans="1:2">
      <c r="A59" s="94"/>
      <c r="B59" s="91"/>
    </row>
    <row r="60" spans="1:2">
      <c r="A60" s="92"/>
      <c r="B60" s="90"/>
    </row>
    <row r="61" spans="1:2">
      <c r="A61" s="94"/>
      <c r="B61" s="91"/>
    </row>
    <row r="62" spans="1:2">
      <c r="A62" s="92"/>
      <c r="B62" s="90"/>
    </row>
    <row r="63" spans="1:2">
      <c r="A63" s="94"/>
      <c r="B63" s="91"/>
    </row>
    <row r="64" spans="1:2">
      <c r="A64" s="92"/>
      <c r="B64" s="90"/>
    </row>
    <row r="65" spans="1:2">
      <c r="A65" s="94"/>
      <c r="B65" s="91"/>
    </row>
    <row r="66" spans="1:2">
      <c r="A66" s="92"/>
      <c r="B66" s="90"/>
    </row>
    <row r="67" spans="1:2">
      <c r="A67" s="94"/>
      <c r="B67" s="91"/>
    </row>
    <row r="68" spans="1:2">
      <c r="A68" s="92"/>
      <c r="B68" s="90"/>
    </row>
    <row r="69" spans="1:2">
      <c r="A69" s="94"/>
      <c r="B69" s="91"/>
    </row>
    <row r="70" spans="1:2">
      <c r="A70" s="92"/>
      <c r="B70" s="90"/>
    </row>
    <row r="71" spans="1:2">
      <c r="A71" s="94"/>
      <c r="B71" s="91"/>
    </row>
    <row r="72" spans="1:2">
      <c r="A72" s="92"/>
      <c r="B72" s="90"/>
    </row>
    <row r="73" spans="1:2">
      <c r="A73" s="94"/>
      <c r="B73" s="91"/>
    </row>
    <row r="74" spans="1:2">
      <c r="A74" s="92"/>
      <c r="B74" s="90"/>
    </row>
    <row r="75" spans="1:2">
      <c r="A75" s="94"/>
      <c r="B75" s="91"/>
    </row>
    <row r="76" spans="1:2">
      <c r="A76" s="92"/>
      <c r="B76" s="90"/>
    </row>
    <row r="77" spans="1:2">
      <c r="A77" s="94"/>
      <c r="B77" s="91"/>
    </row>
    <row r="78" spans="1:2">
      <c r="A78" s="92"/>
      <c r="B78" s="90"/>
    </row>
    <row r="79" spans="1:2">
      <c r="A79" s="94"/>
      <c r="B79" s="91"/>
    </row>
    <row r="80" spans="1:2">
      <c r="A80" s="92"/>
      <c r="B80" s="90"/>
    </row>
    <row r="81" spans="1:2">
      <c r="A81" s="94"/>
      <c r="B81" s="91"/>
    </row>
    <row r="82" spans="1:2">
      <c r="A82" s="92"/>
      <c r="B82" s="90"/>
    </row>
    <row r="83" spans="1:2">
      <c r="A83" s="94"/>
      <c r="B83" s="91"/>
    </row>
    <row r="84" spans="1:2">
      <c r="A84" s="92"/>
      <c r="B84" s="90"/>
    </row>
    <row r="85" spans="1:2">
      <c r="A85" s="94"/>
      <c r="B85" s="91"/>
    </row>
    <row r="86" spans="1:2">
      <c r="A86" s="92"/>
      <c r="B86" s="90"/>
    </row>
    <row r="87" spans="1:2">
      <c r="A87" s="94"/>
      <c r="B87" s="91"/>
    </row>
    <row r="88" spans="1:2">
      <c r="A88" s="92"/>
      <c r="B88" s="90"/>
    </row>
    <row r="89" spans="1:2">
      <c r="A89" s="94"/>
      <c r="B89" s="91"/>
    </row>
    <row r="90" spans="1:2">
      <c r="A90" s="92"/>
      <c r="B90" s="90"/>
    </row>
    <row r="91" spans="1:2">
      <c r="A91" s="94"/>
      <c r="B91" s="91"/>
    </row>
    <row r="92" spans="1:2">
      <c r="A92" s="92"/>
      <c r="B92" s="90"/>
    </row>
    <row r="93" spans="1:2">
      <c r="A93" s="94"/>
      <c r="B93" s="91"/>
    </row>
    <row r="94" spans="1:2">
      <c r="A94" s="92"/>
      <c r="B94" s="90"/>
    </row>
    <row r="95" spans="1:2">
      <c r="A95" s="94"/>
      <c r="B95" s="91"/>
    </row>
    <row r="96" spans="1:2">
      <c r="A96" s="92"/>
      <c r="B96" s="90"/>
    </row>
    <row r="97" spans="1:2">
      <c r="A97" s="94"/>
      <c r="B97" s="91"/>
    </row>
    <row r="98" spans="1:2">
      <c r="A98" s="92"/>
      <c r="B98" s="90"/>
    </row>
    <row r="99" spans="1:2">
      <c r="A99" s="94"/>
      <c r="B99" s="91"/>
    </row>
    <row r="100" spans="1:2">
      <c r="A100" s="92"/>
      <c r="B100" s="90"/>
    </row>
    <row r="101" spans="1:2">
      <c r="A101" s="94"/>
      <c r="B101" s="91"/>
    </row>
    <row r="102" spans="1:2">
      <c r="A102" s="92"/>
      <c r="B102" s="90"/>
    </row>
    <row r="103" spans="1:2">
      <c r="A103" s="94"/>
      <c r="B103" s="91"/>
    </row>
    <row r="104" spans="1:2">
      <c r="A104" s="92"/>
      <c r="B104" s="90"/>
    </row>
    <row r="105" spans="1:2">
      <c r="A105" s="94"/>
      <c r="B105" s="91"/>
    </row>
    <row r="106" spans="1:2">
      <c r="A106" s="92"/>
      <c r="B106" s="90"/>
    </row>
    <row r="107" spans="1:2">
      <c r="A107" s="94"/>
      <c r="B107" s="91"/>
    </row>
    <row r="108" spans="1:2">
      <c r="A108" s="92"/>
      <c r="B108" s="90"/>
    </row>
    <row r="109" spans="1:2">
      <c r="A109" s="94"/>
      <c r="B109" s="91"/>
    </row>
    <row r="110" spans="1:2">
      <c r="A110" s="92"/>
      <c r="B110" s="90"/>
    </row>
    <row r="111" spans="1:2">
      <c r="A111" s="94"/>
      <c r="B111" s="91"/>
    </row>
    <row r="112" spans="1:2">
      <c r="A112" s="92"/>
      <c r="B112" s="90"/>
    </row>
    <row r="113" spans="1:2">
      <c r="A113" s="94"/>
      <c r="B113" s="91"/>
    </row>
    <row r="114" spans="1:2">
      <c r="A114" s="92"/>
      <c r="B114" s="90"/>
    </row>
    <row r="115" spans="1:2">
      <c r="A115" s="94"/>
      <c r="B115" s="91"/>
    </row>
    <row r="116" spans="1:2">
      <c r="A116" s="92"/>
      <c r="B116" s="90"/>
    </row>
    <row r="117" spans="1:2">
      <c r="A117" s="94"/>
      <c r="B117" s="91"/>
    </row>
    <row r="118" spans="1:2">
      <c r="A118" s="92"/>
      <c r="B118" s="90"/>
    </row>
    <row r="119" spans="1:2">
      <c r="A119" s="94"/>
      <c r="B119" s="91"/>
    </row>
    <row r="120" spans="1:2">
      <c r="A120" s="92"/>
      <c r="B120" s="90"/>
    </row>
    <row r="121" spans="1:2">
      <c r="A121" s="94"/>
      <c r="B121" s="91"/>
    </row>
    <row r="122" spans="1:2">
      <c r="A122" s="92"/>
      <c r="B122" s="90"/>
    </row>
    <row r="123" spans="1:2">
      <c r="A123" s="94"/>
      <c r="B123" s="91"/>
    </row>
    <row r="124" spans="1:2">
      <c r="A124" s="92"/>
      <c r="B124" s="90"/>
    </row>
    <row r="125" spans="1:2">
      <c r="A125" s="94"/>
      <c r="B125" s="91"/>
    </row>
    <row r="126" spans="1:2">
      <c r="A126" s="92"/>
      <c r="B126" s="90"/>
    </row>
    <row r="127" spans="1:2">
      <c r="A127" s="94"/>
      <c r="B127" s="91"/>
    </row>
    <row r="128" spans="1:2">
      <c r="A128" s="92"/>
      <c r="B128" s="90"/>
    </row>
    <row r="129" spans="1:2">
      <c r="A129" s="94"/>
      <c r="B129" s="91"/>
    </row>
    <row r="130" spans="1:2">
      <c r="A130" s="92"/>
      <c r="B130" s="90"/>
    </row>
    <row r="131" spans="1:2">
      <c r="A131" s="94"/>
      <c r="B131" s="91"/>
    </row>
    <row r="132" spans="1:2">
      <c r="A132" s="92"/>
      <c r="B132" s="90"/>
    </row>
    <row r="133" spans="1:2">
      <c r="A133" s="94"/>
      <c r="B133" s="91"/>
    </row>
    <row r="134" spans="1:2">
      <c r="A134" s="92"/>
      <c r="B134" s="90"/>
    </row>
    <row r="135" spans="1:2">
      <c r="A135" s="94"/>
      <c r="B135" s="91"/>
    </row>
    <row r="136" spans="1:2">
      <c r="A136" s="92"/>
      <c r="B136" s="90"/>
    </row>
    <row r="137" spans="1:2">
      <c r="A137" s="94"/>
      <c r="B137" s="91"/>
    </row>
    <row r="138" spans="1:2">
      <c r="A138" s="92"/>
      <c r="B138" s="90"/>
    </row>
    <row r="139" spans="1:2">
      <c r="A139" s="94"/>
      <c r="B139" s="91"/>
    </row>
    <row r="140" spans="1:2">
      <c r="A140" s="94"/>
      <c r="B140" s="91"/>
    </row>
    <row r="141" spans="1:2">
      <c r="A141" s="94"/>
      <c r="B141" s="91"/>
    </row>
    <row r="142" spans="1:2">
      <c r="A142" s="94"/>
      <c r="B142" s="91"/>
    </row>
    <row r="143" spans="1:2">
      <c r="A143" s="94"/>
      <c r="B143" s="91"/>
    </row>
    <row r="144" spans="1:2">
      <c r="A144" s="94"/>
      <c r="B144" s="91"/>
    </row>
    <row r="145" spans="1:2">
      <c r="A145" s="94"/>
      <c r="B145" s="91"/>
    </row>
    <row r="146" spans="1:2">
      <c r="A146" s="94"/>
      <c r="B146" s="91"/>
    </row>
    <row r="147" spans="1:2">
      <c r="A147" s="94"/>
      <c r="B147" s="91"/>
    </row>
    <row r="148" spans="1:2">
      <c r="A148" s="92"/>
      <c r="B148" s="90"/>
    </row>
    <row r="149" spans="1:2">
      <c r="A149" s="94"/>
      <c r="B149" s="91"/>
    </row>
    <row r="150" spans="1:2">
      <c r="A150" s="92"/>
      <c r="B150" s="90"/>
    </row>
    <row r="151" spans="1:2">
      <c r="A151" s="94"/>
      <c r="B151" s="91"/>
    </row>
    <row r="152" spans="1:2">
      <c r="A152" s="92"/>
      <c r="B152" s="90"/>
    </row>
    <row r="153" spans="1:2">
      <c r="A153" s="94"/>
      <c r="B153" s="91"/>
    </row>
    <row r="154" spans="1:2">
      <c r="A154" s="92"/>
      <c r="B154" s="90"/>
    </row>
    <row r="155" spans="1:2">
      <c r="A155" s="94"/>
      <c r="B155" s="91"/>
    </row>
    <row r="156" spans="1:2">
      <c r="A156" s="92"/>
      <c r="B156" s="90"/>
    </row>
    <row r="157" spans="1:2">
      <c r="A157" s="94"/>
      <c r="B157" s="91"/>
    </row>
    <row r="158" spans="1:2">
      <c r="A158" s="92"/>
      <c r="B158" s="90"/>
    </row>
    <row r="159" spans="1:2">
      <c r="A159" s="94"/>
      <c r="B159" s="91"/>
    </row>
    <row r="160" spans="1:2">
      <c r="A160" s="92"/>
      <c r="B160" s="90"/>
    </row>
    <row r="161" spans="1:2">
      <c r="A161" s="94"/>
      <c r="B161" s="91"/>
    </row>
    <row r="162" spans="1:2">
      <c r="A162" s="92"/>
      <c r="B162" s="90"/>
    </row>
    <row r="163" spans="1:2">
      <c r="A163" s="94"/>
      <c r="B163" s="91"/>
    </row>
    <row r="164" spans="1:2">
      <c r="A164" s="92"/>
      <c r="B164" s="90"/>
    </row>
    <row r="165" spans="1:2">
      <c r="A165" s="94"/>
      <c r="B165" s="91"/>
    </row>
    <row r="166" spans="1:2">
      <c r="A166" s="92"/>
      <c r="B166" s="90"/>
    </row>
    <row r="167" spans="1:2">
      <c r="A167" s="94"/>
      <c r="B167" s="91"/>
    </row>
    <row r="168" spans="1:2">
      <c r="A168" s="92"/>
      <c r="B168" s="90"/>
    </row>
    <row r="169" spans="1:2">
      <c r="A169" s="94"/>
      <c r="B169" s="91"/>
    </row>
    <row r="170" spans="1:2">
      <c r="A170" s="92"/>
      <c r="B170" s="90"/>
    </row>
    <row r="171" spans="1:2">
      <c r="A171" s="94"/>
      <c r="B171" s="91"/>
    </row>
    <row r="172" spans="1:2">
      <c r="A172" s="92"/>
      <c r="B172" s="90"/>
    </row>
    <row r="173" spans="1:2">
      <c r="A173" s="94"/>
      <c r="B173" s="91"/>
    </row>
    <row r="174" spans="1:2">
      <c r="A174" s="92"/>
      <c r="B174" s="90"/>
    </row>
    <row r="175" spans="1:2">
      <c r="A175" s="94"/>
      <c r="B175" s="91"/>
    </row>
    <row r="176" spans="1:2">
      <c r="A176" s="92"/>
      <c r="B176" s="90"/>
    </row>
    <row r="177" spans="1:2">
      <c r="A177" s="94"/>
      <c r="B177" s="91"/>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I177"/>
  <sheetViews>
    <sheetView zoomScale="70" zoomScaleNormal="70" workbookViewId="0">
      <pane ySplit="1" topLeftCell="A60" activePane="bottomLeft" state="frozen"/>
      <selection activeCell="A2" sqref="A2"/>
      <selection pane="bottomLeft" activeCell="I67" sqref="I67"/>
    </sheetView>
  </sheetViews>
  <sheetFormatPr defaultRowHeight="14.4"/>
  <cols>
    <col min="1" max="1" width="14.88671875" style="95" customWidth="1"/>
    <col min="2" max="2" width="38" customWidth="1"/>
    <col min="3" max="3" width="45" customWidth="1"/>
    <col min="4" max="4" width="38" customWidth="1"/>
    <col min="5" max="5" width="14.88671875" style="95" customWidth="1"/>
    <col min="6" max="6" width="15.21875" customWidth="1"/>
    <col min="7" max="7" width="18.88671875" customWidth="1"/>
    <col min="8" max="8" width="15.44140625" customWidth="1"/>
    <col min="9" max="9" width="14.88671875" style="95" customWidth="1"/>
  </cols>
  <sheetData>
    <row r="1" spans="1:9" s="74" customFormat="1">
      <c r="A1" s="93" t="s">
        <v>73</v>
      </c>
      <c r="B1" s="89" t="s">
        <v>74</v>
      </c>
      <c r="C1" s="89" t="s">
        <v>75</v>
      </c>
      <c r="D1" s="89" t="s">
        <v>76</v>
      </c>
      <c r="E1" s="93" t="s">
        <v>77</v>
      </c>
      <c r="F1" s="89" t="s">
        <v>78</v>
      </c>
      <c r="G1" s="89" t="s">
        <v>79</v>
      </c>
      <c r="H1" s="89" t="s">
        <v>80</v>
      </c>
      <c r="I1" s="93" t="s">
        <v>1452</v>
      </c>
    </row>
    <row r="2" spans="1:9" ht="28.8">
      <c r="A2" s="92">
        <v>1</v>
      </c>
      <c r="B2" s="90" t="s">
        <v>81</v>
      </c>
      <c r="C2" s="90" t="str">
        <f>VLOOKUP($B2,'Lista de Entrevistas_BD'!$D$2:$M$121,4,FALSE)</f>
        <v>Consultor Contratos Implantação</v>
      </c>
      <c r="D2" s="90" t="str">
        <f>VLOOKUP($B2,'Lista de Entrevistas_BD'!$D$2:$M$121,5,FALSE)</f>
        <v>VP Trilhos</v>
      </c>
      <c r="E2" s="158" t="str">
        <f>VLOOKUP($B2,'Lista de Entrevistas_BD'!$D$2:$M$121,7,FALSE)</f>
        <v>Trilhos</v>
      </c>
      <c r="F2" s="90" t="s">
        <v>82</v>
      </c>
      <c r="G2" s="90" t="s">
        <v>83</v>
      </c>
      <c r="H2" s="96">
        <f>VLOOKUP($B2,'Lista de Entrevistas_BD'!$D$2:$M$121,8,FALSE)</f>
        <v>46073.375</v>
      </c>
      <c r="I2" s="94" t="s">
        <v>1453</v>
      </c>
    </row>
    <row r="3" spans="1:9" ht="28.8">
      <c r="A3" s="92">
        <v>2</v>
      </c>
      <c r="B3" s="91" t="s">
        <v>84</v>
      </c>
      <c r="C3" s="91" t="str">
        <f>VLOOKUP($B3,'Lista de Entrevistas_BD'!$D$2:$M$121,4,FALSE)</f>
        <v>Consultor Contratos Implantação (L4)</v>
      </c>
      <c r="D3" s="91" t="str">
        <f>VLOOKUP($B3,'Lista de Entrevistas_BD'!$D$2:$M$121,5,FALSE)</f>
        <v>VP Trilhos</v>
      </c>
      <c r="E3" s="158" t="str">
        <f>VLOOKUP($B3,'Lista de Entrevistas_BD'!$D$2:$M$121,7,FALSE)</f>
        <v>Trilhos</v>
      </c>
      <c r="F3" s="91" t="s">
        <v>85</v>
      </c>
      <c r="G3" s="91" t="s">
        <v>83</v>
      </c>
      <c r="H3" s="96">
        <f>VLOOKUP($B3,'Lista de Entrevistas_BD'!$D$2:$M$121,8,FALSE)</f>
        <v>46073.4375</v>
      </c>
      <c r="I3" s="94" t="s">
        <v>1453</v>
      </c>
    </row>
    <row r="4" spans="1:9" ht="43.2">
      <c r="A4" s="92">
        <v>3</v>
      </c>
      <c r="B4" s="90" t="s">
        <v>86</v>
      </c>
      <c r="C4" s="90" t="str">
        <f>VLOOKUP($B4,'Lista de Entrevistas_BD'!$D$2:$M$121,4,FALSE)</f>
        <v>Consultor Engenharia</v>
      </c>
      <c r="D4" s="90" t="str">
        <f>VLOOKUP($B4,'Lista de Entrevistas_BD'!$D$2:$M$121,5,FALSE)</f>
        <v>VP Trilhos</v>
      </c>
      <c r="E4" s="158" t="str">
        <f>VLOOKUP($B4,'Lista de Entrevistas_BD'!$D$2:$M$121,7,FALSE)</f>
        <v>Trilhos</v>
      </c>
      <c r="F4" s="90" t="s">
        <v>87</v>
      </c>
      <c r="G4" s="90" t="s">
        <v>83</v>
      </c>
      <c r="H4" s="96">
        <f>VLOOKUP($B4,'Lista de Entrevistas_BD'!$D$2:$M$121,8,FALSE)</f>
        <v>46073.5625</v>
      </c>
      <c r="I4" s="94" t="s">
        <v>1453</v>
      </c>
    </row>
    <row r="5" spans="1:9" ht="28.8">
      <c r="A5" s="92">
        <v>4</v>
      </c>
      <c r="B5" s="91" t="s">
        <v>88</v>
      </c>
      <c r="C5" s="91" t="str">
        <f>VLOOKUP($B5,'Lista de Entrevistas_BD'!$D$2:$M$121,4,FALSE)</f>
        <v>Gerente Executivo Empreedimentos e PMO - Projetos Técnicos (L4)</v>
      </c>
      <c r="D5" s="91" t="str">
        <f>VLOOKUP($B5,'Lista de Entrevistas_BD'!$D$2:$M$121,5,FALSE)</f>
        <v>VP Trilhos</v>
      </c>
      <c r="E5" s="158" t="str">
        <f>VLOOKUP($B5,'Lista de Entrevistas_BD'!$D$2:$M$121,7,FALSE)</f>
        <v>Trilhos</v>
      </c>
      <c r="F5" s="91" t="s">
        <v>89</v>
      </c>
      <c r="G5" s="91" t="s">
        <v>90</v>
      </c>
      <c r="H5" s="96">
        <f>VLOOKUP($B5,'Lista de Entrevistas_BD'!$D$2:$M$121,8,FALSE)</f>
        <v>46073.625</v>
      </c>
      <c r="I5" s="94" t="s">
        <v>1453</v>
      </c>
    </row>
    <row r="6" spans="1:9" ht="28.8">
      <c r="A6" s="92">
        <v>5</v>
      </c>
      <c r="B6" s="90" t="s">
        <v>91</v>
      </c>
      <c r="C6" s="90" t="str">
        <f>VLOOKUP($B6,'Lista de Entrevistas_BD'!$D$2:$M$121,4,FALSE)</f>
        <v>Gerente Executivo Gerenciamento de Riscos</v>
      </c>
      <c r="D6" s="90" t="str">
        <f>VLOOKUP($B6,'Lista de Entrevistas_BD'!$D$2:$M$121,5,FALSE)</f>
        <v>VP Trilhos</v>
      </c>
      <c r="E6" s="158" t="str">
        <f>VLOOKUP($B6,'Lista de Entrevistas_BD'!$D$2:$M$121,7,FALSE)</f>
        <v>Trilhos</v>
      </c>
      <c r="F6" s="90" t="s">
        <v>92</v>
      </c>
      <c r="G6" s="90" t="s">
        <v>90</v>
      </c>
      <c r="H6" s="96">
        <f>VLOOKUP($B6,'Lista de Entrevistas_BD'!$D$2:$M$121,8,FALSE)</f>
        <v>46073.708333333336</v>
      </c>
      <c r="I6" s="94" t="s">
        <v>1453</v>
      </c>
    </row>
    <row r="7" spans="1:9" ht="28.8">
      <c r="A7" s="92">
        <v>6</v>
      </c>
      <c r="B7" s="91" t="s">
        <v>93</v>
      </c>
      <c r="C7" s="91" t="str">
        <f>VLOOKUP($B7,'Lista de Entrevistas_BD'!$D$2:$M$121,4,FALSE)</f>
        <v>Consultora Riscos Engenharia</v>
      </c>
      <c r="D7" s="91" t="str">
        <f>VLOOKUP($B7,'Lista de Entrevistas_BD'!$D$2:$M$121,5,FALSE)</f>
        <v>VP Trilhos</v>
      </c>
      <c r="E7" s="158" t="str">
        <f>VLOOKUP($B7,'Lista de Entrevistas_BD'!$D$2:$M$121,7,FALSE)</f>
        <v>Trilhos</v>
      </c>
      <c r="F7" s="91" t="s">
        <v>94</v>
      </c>
      <c r="G7" s="91" t="s">
        <v>83</v>
      </c>
      <c r="H7" s="96">
        <f>VLOOKUP($B7,'Lista de Entrevistas_BD'!$D$2:$M$121,8,FALSE)</f>
        <v>46076.4375</v>
      </c>
      <c r="I7" s="94" t="s">
        <v>1453</v>
      </c>
    </row>
    <row r="8" spans="1:9" ht="43.2">
      <c r="A8" s="92">
        <v>7</v>
      </c>
      <c r="B8" s="90" t="s">
        <v>95</v>
      </c>
      <c r="C8" s="90" t="str">
        <f>VLOOKUP($B8,'Lista de Entrevistas_BD'!$D$2:$M$121,4,FALSE)</f>
        <v>Gerente de PMO</v>
      </c>
      <c r="D8" s="90" t="str">
        <f>VLOOKUP($B8,'Lista de Entrevistas_BD'!$D$2:$M$121,5,FALSE)</f>
        <v>VP Trilhos</v>
      </c>
      <c r="E8" s="158" t="str">
        <f>VLOOKUP($B8,'Lista de Entrevistas_BD'!$D$2:$M$121,7,FALSE)</f>
        <v>Trilhos</v>
      </c>
      <c r="F8" s="90" t="s">
        <v>96</v>
      </c>
      <c r="G8" s="90" t="s">
        <v>90</v>
      </c>
      <c r="H8" s="96">
        <f>VLOOKUP($B8,'Lista de Entrevistas_BD'!$D$2:$M$121,8,FALSE)</f>
        <v>46076.583333333336</v>
      </c>
      <c r="I8" s="94" t="s">
        <v>1453</v>
      </c>
    </row>
    <row r="9" spans="1:9" ht="28.8">
      <c r="A9" s="92">
        <v>8</v>
      </c>
      <c r="B9" s="91" t="s">
        <v>97</v>
      </c>
      <c r="C9" s="91" t="str">
        <f>VLOOKUP($B9,'Lista de Entrevistas_BD'!$D$2:$M$121,4,FALSE)</f>
        <v>Gerente Executivo Acompanhamento de Projetos</v>
      </c>
      <c r="D9" s="91" t="str">
        <f>VLOOKUP($B9,'Lista de Entrevistas_BD'!$D$2:$M$121,5,FALSE)</f>
        <v>VP Trilhos</v>
      </c>
      <c r="E9" s="158" t="str">
        <f>VLOOKUP($B9,'Lista de Entrevistas_BD'!$D$2:$M$121,7,FALSE)</f>
        <v>Trilhos</v>
      </c>
      <c r="F9" s="91" t="s">
        <v>98</v>
      </c>
      <c r="G9" s="91" t="s">
        <v>90</v>
      </c>
      <c r="H9" s="96">
        <f>VLOOKUP($B9,'Lista de Entrevistas_BD'!$D$2:$M$121,8,FALSE)</f>
        <v>46076.645833333336</v>
      </c>
      <c r="I9" s="94" t="s">
        <v>1453</v>
      </c>
    </row>
    <row r="10" spans="1:9" ht="28.8">
      <c r="A10" s="92">
        <v>9</v>
      </c>
      <c r="B10" s="90" t="s">
        <v>99</v>
      </c>
      <c r="C10" s="90" t="str">
        <f>VLOOKUP($B10,'Lista de Entrevistas_BD'!$D$2:$M$121,4,FALSE)</f>
        <v>Coordenador PMO</v>
      </c>
      <c r="D10" s="90" t="str">
        <f>VLOOKUP($B10,'Lista de Entrevistas_BD'!$D$2:$M$121,5,FALSE)</f>
        <v>VP Trilhos</v>
      </c>
      <c r="E10" s="158" t="str">
        <f>VLOOKUP($B10,'Lista de Entrevistas_BD'!$D$2:$M$121,7,FALSE)</f>
        <v>Trilhos</v>
      </c>
      <c r="F10" s="90" t="s">
        <v>100</v>
      </c>
      <c r="G10" s="90" t="s">
        <v>83</v>
      </c>
      <c r="H10" s="96">
        <f>VLOOKUP($B10,'Lista de Entrevistas_BD'!$D$2:$M$121,8,FALSE)</f>
        <v>46077.458333333336</v>
      </c>
      <c r="I10" s="94" t="s">
        <v>1453</v>
      </c>
    </row>
    <row r="11" spans="1:9" ht="28.8">
      <c r="A11" s="92">
        <v>10</v>
      </c>
      <c r="B11" s="91" t="s">
        <v>101</v>
      </c>
      <c r="C11" s="91" t="str">
        <f>VLOOKUP($B11,'Lista de Entrevistas_BD'!$D$2:$M$121,4,FALSE)</f>
        <v>Coordenadora PMO</v>
      </c>
      <c r="D11" s="91" t="str">
        <f>VLOOKUP($B11,'Lista de Entrevistas_BD'!$D$2:$M$121,5,FALSE)</f>
        <v>VP Trilhos</v>
      </c>
      <c r="E11" s="158" t="str">
        <f>VLOOKUP($B11,'Lista de Entrevistas_BD'!$D$2:$M$121,7,FALSE)</f>
        <v>Trilhos</v>
      </c>
      <c r="F11" s="91" t="s">
        <v>102</v>
      </c>
      <c r="G11" s="91" t="s">
        <v>83</v>
      </c>
      <c r="H11" s="96">
        <f>VLOOKUP($B11,'Lista de Entrevistas_BD'!$D$2:$M$121,8,FALSE)</f>
        <v>46077.5625</v>
      </c>
      <c r="I11" s="94" t="s">
        <v>1453</v>
      </c>
    </row>
    <row r="12" spans="1:9" ht="57.6">
      <c r="A12" s="92">
        <v>11</v>
      </c>
      <c r="B12" s="90" t="s">
        <v>103</v>
      </c>
      <c r="C12" s="90" t="str">
        <f>VLOOKUP($B12,'Lista de Entrevistas_BD'!$D$2:$M$121,4,FALSE)</f>
        <v>Diretor Engenharia de Manutenção</v>
      </c>
      <c r="D12" s="90" t="str">
        <f>VLOOKUP($B12,'Lista de Entrevistas_BD'!$D$2:$M$121,5,FALSE)</f>
        <v>VP Trilhos</v>
      </c>
      <c r="E12" s="158" t="str">
        <f>VLOOKUP($B12,'Lista de Entrevistas_BD'!$D$2:$M$121,7,FALSE)</f>
        <v>Trilhos</v>
      </c>
      <c r="F12" s="90" t="s">
        <v>104</v>
      </c>
      <c r="G12" s="90" t="s">
        <v>105</v>
      </c>
      <c r="H12" s="96">
        <f>VLOOKUP($B12,'Lista de Entrevistas_BD'!$D$2:$M$121,8,FALSE)</f>
        <v>46077.6875</v>
      </c>
      <c r="I12" s="94" t="s">
        <v>1453</v>
      </c>
    </row>
    <row r="13" spans="1:9" ht="57.6">
      <c r="A13" s="92">
        <v>12</v>
      </c>
      <c r="B13" s="91" t="s">
        <v>106</v>
      </c>
      <c r="C13" s="91" t="str">
        <f>VLOOKUP($B13,'Lista de Entrevistas_BD'!$D$2:$M$121,4,FALSE)</f>
        <v>Gerente Engenharia Empreedimentos</v>
      </c>
      <c r="D13" s="91" t="str">
        <f>VLOOKUP($B13,'Lista de Entrevistas_BD'!$D$2:$M$121,5,FALSE)</f>
        <v>VP Trilhos</v>
      </c>
      <c r="E13" s="158" t="str">
        <f>VLOOKUP($B13,'Lista de Entrevistas_BD'!$D$2:$M$121,7,FALSE)</f>
        <v>Trilhos</v>
      </c>
      <c r="F13" s="91" t="s">
        <v>107</v>
      </c>
      <c r="G13" s="91" t="s">
        <v>90</v>
      </c>
      <c r="H13" s="96">
        <f>VLOOKUP($B13,'Lista de Entrevistas_BD'!$D$2:$M$121,8,FALSE)</f>
        <v>46078.645833333336</v>
      </c>
      <c r="I13" s="94" t="s">
        <v>1453</v>
      </c>
    </row>
    <row r="14" spans="1:9" ht="43.2">
      <c r="A14" s="92">
        <v>13</v>
      </c>
      <c r="B14" s="90" t="s">
        <v>1236</v>
      </c>
      <c r="C14" s="90" t="str">
        <f>VLOOKUP($B14,'Lista de Entrevistas_BD'!$D$2:$M$121,4,FALSE)</f>
        <v>Gerente Executivo Demais Empreedimentos e Rece</v>
      </c>
      <c r="D14" s="90" t="str">
        <f>VLOOKUP($B14,'Lista de Entrevistas_BD'!$D$2:$M$121,5,FALSE)</f>
        <v>VP Trilhos</v>
      </c>
      <c r="E14" s="158" t="str">
        <f>VLOOKUP($B14,'Lista de Entrevistas_BD'!$D$2:$M$121,7,FALSE)</f>
        <v>Trilhos</v>
      </c>
      <c r="F14" s="90" t="s">
        <v>108</v>
      </c>
      <c r="G14" s="90" t="s">
        <v>90</v>
      </c>
      <c r="H14" s="96">
        <f>VLOOKUP($B14,'Lista de Entrevistas_BD'!$D$2:$M$121,8,FALSE)</f>
        <v>46079.583333333336</v>
      </c>
      <c r="I14" s="94" t="s">
        <v>1453</v>
      </c>
    </row>
    <row r="15" spans="1:9">
      <c r="A15" s="92">
        <v>14</v>
      </c>
      <c r="B15" s="91" t="s">
        <v>109</v>
      </c>
      <c r="C15" s="91" t="str">
        <f>VLOOKUP($B15,'Lista de Entrevistas_BD'!$D$2:$M$121,4,FALSE)</f>
        <v>Gerente Riscos e Controles</v>
      </c>
      <c r="D15" s="91" t="str">
        <f>VLOOKUP($B15,'Lista de Entrevistas_BD'!$D$2:$M$121,5,FALSE)</f>
        <v>VP Inovação, Tecnologia e Riscos</v>
      </c>
      <c r="E15" s="158" t="str">
        <f>VLOOKUP($B15,'Lista de Entrevistas_BD'!$D$2:$M$121,7,FALSE)</f>
        <v>Corporativo</v>
      </c>
      <c r="F15" s="91" t="s">
        <v>110</v>
      </c>
      <c r="G15" s="91" t="s">
        <v>90</v>
      </c>
      <c r="H15" s="96">
        <f>VLOOKUP($B15,'Lista de Entrevistas_BD'!$D$2:$M$121,8,FALSE)</f>
        <v>46083.458333333336</v>
      </c>
      <c r="I15" s="94" t="s">
        <v>1453</v>
      </c>
    </row>
    <row r="16" spans="1:9">
      <c r="A16" s="92">
        <v>15</v>
      </c>
      <c r="B16" s="90" t="s">
        <v>111</v>
      </c>
      <c r="C16" s="90" t="str">
        <f>VLOOKUP($B16,'Lista de Entrevistas_BD'!$D$2:$M$121,4,FALSE)</f>
        <v>Gerente Executivo Suprimentos Rodovias</v>
      </c>
      <c r="D16" s="90" t="str">
        <f>VLOOKUP($B16,'Lista de Entrevistas_BD'!$D$2:$M$121,5,FALSE)</f>
        <v>VP Financeiro e Relações Investidores</v>
      </c>
      <c r="E16" s="158" t="str">
        <f>VLOOKUP($B16,'Lista de Entrevistas_BD'!$D$2:$M$121,7,FALSE)</f>
        <v>Corporativo</v>
      </c>
      <c r="F16" s="90" t="s">
        <v>112</v>
      </c>
      <c r="G16" s="90" t="s">
        <v>90</v>
      </c>
      <c r="H16" s="96">
        <f>VLOOKUP($B16,'Lista de Entrevistas_BD'!$D$2:$M$121,8,FALSE)</f>
        <v>46083.625</v>
      </c>
      <c r="I16" s="94" t="s">
        <v>1453</v>
      </c>
    </row>
    <row r="17" spans="1:9" ht="28.8">
      <c r="A17" s="92">
        <v>16</v>
      </c>
      <c r="B17" s="91" t="s">
        <v>113</v>
      </c>
      <c r="C17" s="91" t="str">
        <f>VLOOKUP($B17,'Lista de Entrevistas_BD'!$D$2:$M$121,4,FALSE)</f>
        <v>Diretora Engenharia e Implantação</v>
      </c>
      <c r="D17" s="91" t="str">
        <f>VLOOKUP($B17,'Lista de Entrevistas_BD'!$D$2:$M$121,5,FALSE)</f>
        <v>VP Trilhos</v>
      </c>
      <c r="E17" s="158" t="str">
        <f>VLOOKUP($B17,'Lista de Entrevistas_BD'!$D$2:$M$121,7,FALSE)</f>
        <v>Trilhos</v>
      </c>
      <c r="F17" s="91" t="s">
        <v>92</v>
      </c>
      <c r="G17" s="91" t="s">
        <v>105</v>
      </c>
      <c r="H17" s="96">
        <f>VLOOKUP($B17,'Lista de Entrevistas_BD'!$D$2:$M$121,8,FALSE)</f>
        <v>46080.666666666664</v>
      </c>
      <c r="I17" s="94" t="s">
        <v>1453</v>
      </c>
    </row>
    <row r="18" spans="1:9" ht="43.2">
      <c r="A18" s="92">
        <v>17</v>
      </c>
      <c r="B18" s="90" t="s">
        <v>114</v>
      </c>
      <c r="C18" s="90" t="str">
        <f>VLOOKUP($B18,'Lista de Entrevistas_BD'!$D$2:$M$121,4,FALSE)</f>
        <v>Assessora Projetos Corporativos</v>
      </c>
      <c r="D18" s="90" t="str">
        <f>VLOOKUP($B18,'Lista de Entrevistas_BD'!$D$2:$M$121,5,FALSE)</f>
        <v>VP Financeiro e Relações Investidores</v>
      </c>
      <c r="E18" s="158" t="str">
        <f>VLOOKUP($B18,'Lista de Entrevistas_BD'!$D$2:$M$121,7,FALSE)</f>
        <v>Corporativo</v>
      </c>
      <c r="F18" s="90" t="s">
        <v>488</v>
      </c>
      <c r="G18" s="90" t="s">
        <v>105</v>
      </c>
      <c r="H18" s="96">
        <f>VLOOKUP($B18,'Lista de Entrevistas_BD'!$D$2:$M$121,8,FALSE)</f>
        <v>46084.625</v>
      </c>
      <c r="I18" s="94" t="s">
        <v>1453</v>
      </c>
    </row>
    <row r="19" spans="1:9">
      <c r="A19" s="92">
        <v>18</v>
      </c>
      <c r="B19" s="91" t="s">
        <v>115</v>
      </c>
      <c r="C19" s="91" t="str">
        <f>VLOOKUP($B19,'Lista de Entrevistas_BD'!$D$2:$M$121,4,FALSE)</f>
        <v>Especialista de PMO</v>
      </c>
      <c r="D19" s="91" t="str">
        <f>VLOOKUP($B19,'Lista de Entrevistas_BD'!$D$2:$M$121,5,FALSE)</f>
        <v>VP Trilhos</v>
      </c>
      <c r="E19" s="158" t="str">
        <f>VLOOKUP($B19,'Lista de Entrevistas_BD'!$D$2:$M$121,7,FALSE)</f>
        <v>Trilhos</v>
      </c>
      <c r="F19" s="91"/>
      <c r="G19" s="91"/>
      <c r="H19" s="96">
        <f>VLOOKUP($B19,'Lista de Entrevistas_BD'!$D$2:$M$121,8,FALSE)</f>
        <v>46080.583333333336</v>
      </c>
      <c r="I19" s="94" t="s">
        <v>1453</v>
      </c>
    </row>
    <row r="20" spans="1:9">
      <c r="A20" s="92">
        <v>19</v>
      </c>
      <c r="B20" s="90" t="s">
        <v>190</v>
      </c>
      <c r="C20" s="90" t="str">
        <f>VLOOKUP($B20,'Lista de Entrevistas_BD'!$D$2:$M$121,4,FALSE)</f>
        <v>Gerente Gestão Fornecedores e Sustentação</v>
      </c>
      <c r="D20" s="90" t="str">
        <f>VLOOKUP($B20,'Lista de Entrevistas_BD'!$D$2:$M$121,5,FALSE)</f>
        <v>VP Financeiro e Relações Investidores</v>
      </c>
      <c r="E20" s="158" t="str">
        <f>VLOOKUP($B20,'Lista de Entrevistas_BD'!$D$2:$M$121,7,FALSE)</f>
        <v>Corporativo</v>
      </c>
      <c r="F20" s="90" t="s">
        <v>451</v>
      </c>
      <c r="G20" s="90" t="s">
        <v>105</v>
      </c>
      <c r="H20" s="96">
        <f>VLOOKUP($B20,'Lista de Entrevistas_BD'!$D$2:$M$121,8,FALSE)</f>
        <v>46084.5625</v>
      </c>
      <c r="I20" s="94" t="s">
        <v>1453</v>
      </c>
    </row>
    <row r="21" spans="1:9" ht="28.8">
      <c r="A21" s="92">
        <v>20</v>
      </c>
      <c r="B21" s="91" t="s">
        <v>638</v>
      </c>
      <c r="C21" s="91" t="str">
        <f>VLOOKUP($B21,'Lista de Entrevistas_BD'!$D$2:$M$121,4,FALSE)</f>
        <v>Gerente Executivo Engenharia Projetos e Centro Expertise</v>
      </c>
      <c r="D21" s="91" t="str">
        <f>VLOOKUP($B21,'Lista de Entrevistas_BD'!$D$2:$M$121,5,FALSE)</f>
        <v>VP Trilhos</v>
      </c>
      <c r="E21" s="158" t="str">
        <f>VLOOKUP($B21,'Lista de Entrevistas_BD'!$D$2:$M$121,7,FALSE)</f>
        <v>Trilhos</v>
      </c>
      <c r="F21" s="91"/>
      <c r="G21" s="91"/>
      <c r="H21" s="96">
        <f>VLOOKUP($B21,'Lista de Entrevistas_BD'!$D$2:$M$121,8,FALSE)</f>
        <v>46072.583333333336</v>
      </c>
      <c r="I21" s="94" t="s">
        <v>1453</v>
      </c>
    </row>
    <row r="22" spans="1:9">
      <c r="A22" s="92">
        <v>21</v>
      </c>
      <c r="B22" s="90" t="s">
        <v>736</v>
      </c>
      <c r="C22" s="91" t="str">
        <f>VLOOKUP($B22,'Lista de Entrevistas_BD'!$D$2:$M$121,4,FALSE)</f>
        <v>Gerente Executivo Engenharia e Obras</v>
      </c>
      <c r="D22" s="91" t="str">
        <f>VLOOKUP($B22,'Lista de Entrevistas_BD'!$D$2:$M$121,5,FALSE)</f>
        <v>VP Rodovias</v>
      </c>
      <c r="E22" s="158" t="str">
        <f>VLOOKUP($B22,'Lista de Entrevistas_BD'!$D$2:$M$121,7,FALSE)</f>
        <v>Rodovias</v>
      </c>
      <c r="F22" s="90"/>
      <c r="G22" s="90"/>
      <c r="H22" s="96">
        <f>VLOOKUP($B22,'Lista de Entrevistas_BD'!$D$2:$M$121,8,FALSE)</f>
        <v>46100.458333333336</v>
      </c>
      <c r="I22" s="94" t="s">
        <v>1453</v>
      </c>
    </row>
    <row r="23" spans="1:9">
      <c r="A23" s="92">
        <v>22</v>
      </c>
      <c r="B23" s="91" t="s">
        <v>701</v>
      </c>
      <c r="C23" s="91" t="str">
        <f>VLOOKUP($B23,'Lista de Entrevistas_BD'!$D$2:$M$121,4,FALSE)</f>
        <v>Gerente Executivo PMO, Qualidade e Riscos</v>
      </c>
      <c r="D23" s="91" t="str">
        <f>VLOOKUP($B23,'Lista de Entrevistas_BD'!$D$2:$M$121,5,FALSE)</f>
        <v>VP Rodovias</v>
      </c>
      <c r="E23" s="158" t="str">
        <f>VLOOKUP($B23,'Lista de Entrevistas_BD'!$D$2:$M$121,7,FALSE)</f>
        <v>Rodovias</v>
      </c>
      <c r="F23" s="91"/>
      <c r="G23" s="91"/>
      <c r="H23" s="96">
        <f>VLOOKUP($B23,'Lista de Entrevistas_BD'!$D$2:$M$121,8,FALSE)</f>
        <v>46097.583333333336</v>
      </c>
      <c r="I23" s="94" t="s">
        <v>1453</v>
      </c>
    </row>
    <row r="24" spans="1:9">
      <c r="A24" s="92">
        <v>23</v>
      </c>
      <c r="B24" s="90" t="s">
        <v>720</v>
      </c>
      <c r="C24" s="91" t="str">
        <f>VLOOKUP($B24,'Lista de Entrevistas_BD'!$D$2:$M$121,4,FALSE)</f>
        <v>Coordenadora PMO</v>
      </c>
      <c r="D24" s="91" t="str">
        <f>VLOOKUP($B24,'Lista de Entrevistas_BD'!$D$2:$M$121,5,FALSE)</f>
        <v>VP Rodovias</v>
      </c>
      <c r="E24" s="158" t="str">
        <f>VLOOKUP($B24,'Lista de Entrevistas_BD'!$D$2:$M$121,7,FALSE)</f>
        <v>Rodovias</v>
      </c>
      <c r="F24" s="90"/>
      <c r="G24" s="90"/>
      <c r="H24" s="96">
        <f>VLOOKUP($B24,'Lista de Entrevistas_BD'!$D$2:$M$121,8,FALSE)</f>
        <v>46099.375</v>
      </c>
      <c r="I24" s="94" t="s">
        <v>1453</v>
      </c>
    </row>
    <row r="25" spans="1:9">
      <c r="A25" s="92">
        <v>24</v>
      </c>
      <c r="B25" s="91" t="s">
        <v>733</v>
      </c>
      <c r="C25" s="91" t="str">
        <f>VLOOKUP($B25,'Lista de Entrevistas_BD'!$D$2:$M$121,4,FALSE)</f>
        <v>Consultor PMO</v>
      </c>
      <c r="D25" s="91" t="str">
        <f>VLOOKUP($B25,'Lista de Entrevistas_BD'!$D$2:$M$121,5,FALSE)</f>
        <v>VP Rodovias</v>
      </c>
      <c r="E25" s="158" t="str">
        <f>VLOOKUP($B25,'Lista de Entrevistas_BD'!$D$2:$M$121,7,FALSE)</f>
        <v>Rodovias</v>
      </c>
      <c r="F25" s="91"/>
      <c r="G25" s="91"/>
      <c r="H25" s="96">
        <f>VLOOKUP($B25,'Lista de Entrevistas_BD'!$D$2:$M$121,8,FALSE)</f>
        <v>46098.416666666664</v>
      </c>
      <c r="I25" s="94" t="s">
        <v>1453</v>
      </c>
    </row>
    <row r="26" spans="1:9">
      <c r="A26" s="92">
        <v>25</v>
      </c>
      <c r="B26" s="90" t="s">
        <v>516</v>
      </c>
      <c r="C26" s="91" t="str">
        <f>VLOOKUP($B26,'Lista de Entrevistas_BD'!$D$2:$M$121,4,FALSE)</f>
        <v>Gerente Gestão Portfólio e Valor</v>
      </c>
      <c r="D26" s="91" t="str">
        <f>VLOOKUP($B26,'Lista de Entrevistas_BD'!$D$2:$M$121,5,FALSE)</f>
        <v>VP Inovação, Tecnologia e Riscos</v>
      </c>
      <c r="E26" s="158" t="str">
        <f>VLOOKUP($B26,'Lista de Entrevistas_BD'!$D$2:$M$121,7,FALSE)</f>
        <v>Corporativo</v>
      </c>
      <c r="F26" s="90"/>
      <c r="G26" s="90"/>
      <c r="H26" s="96">
        <f>VLOOKUP($B26,'Lista de Entrevistas_BD'!$D$2:$M$121,8,FALSE)</f>
        <v>46099.625</v>
      </c>
      <c r="I26" s="94" t="s">
        <v>1453</v>
      </c>
    </row>
    <row r="27" spans="1:9">
      <c r="A27" s="92">
        <v>26</v>
      </c>
      <c r="B27" s="91" t="s">
        <v>512</v>
      </c>
      <c r="C27" s="91" t="str">
        <f>VLOOKUP($B27,'Lista de Entrevistas_BD'!$D$2:$M$121,4,FALSE)</f>
        <v>Gerente Executiva Planejamento e Governança</v>
      </c>
      <c r="D27" s="91" t="str">
        <f>VLOOKUP($B27,'Lista de Entrevistas_BD'!$D$2:$M$121,5,FALSE)</f>
        <v>VP Inovação, Tecnologia e Riscos</v>
      </c>
      <c r="E27" s="158" t="str">
        <f>VLOOKUP($B27,'Lista de Entrevistas_BD'!$D$2:$M$121,7,FALSE)</f>
        <v>Corporativo</v>
      </c>
      <c r="F27" s="91"/>
      <c r="G27" s="91"/>
      <c r="H27" s="96">
        <f>VLOOKUP($B27,'Lista de Entrevistas_BD'!$D$2:$M$121,8,FALSE)</f>
        <v>46097.6875</v>
      </c>
      <c r="I27" s="94" t="s">
        <v>1453</v>
      </c>
    </row>
    <row r="28" spans="1:9">
      <c r="A28" s="92">
        <v>27</v>
      </c>
      <c r="B28" s="90" t="s">
        <v>529</v>
      </c>
      <c r="C28" s="91" t="str">
        <f>VLOOKUP($B28,'Lista de Entrevistas_BD'!$D$2:$M$121,4,FALSE)</f>
        <v>Gerente Executivo Soluções Engenharia e Logística</v>
      </c>
      <c r="D28" s="91" t="str">
        <f>VLOOKUP($B28,'Lista de Entrevistas_BD'!$D$2:$M$121,5,FALSE)</f>
        <v>VP Inovação, Tecnologia e Riscos</v>
      </c>
      <c r="E28" s="158" t="str">
        <f>VLOOKUP($B28,'Lista de Entrevistas_BD'!$D$2:$M$121,7,FALSE)</f>
        <v>Corporativo</v>
      </c>
      <c r="F28" s="90"/>
      <c r="G28" s="90"/>
      <c r="H28" s="96">
        <f>VLOOKUP($B28,'Lista de Entrevistas_BD'!$D$2:$M$121,8,FALSE)</f>
        <v>46097.583333333336</v>
      </c>
      <c r="I28" s="94" t="s">
        <v>1453</v>
      </c>
    </row>
    <row r="29" spans="1:9">
      <c r="A29" s="92">
        <v>28</v>
      </c>
      <c r="B29" s="91" t="s">
        <v>458</v>
      </c>
      <c r="C29" s="91" t="str">
        <f>VLOOKUP($B29,'Lista de Entrevistas_BD'!$D$2:$M$121,4,FALSE)</f>
        <v>Gerente Executivo Suprimentos Mobilidade e Aero</v>
      </c>
      <c r="D29" s="91" t="str">
        <f>VLOOKUP($B29,'Lista de Entrevistas_BD'!$D$2:$M$121,5,FALSE)</f>
        <v>VP Financeiro e Relações Investidores</v>
      </c>
      <c r="E29" s="158" t="str">
        <f>VLOOKUP($B29,'Lista de Entrevistas_BD'!$D$2:$M$121,7,FALSE)</f>
        <v>Corporativo</v>
      </c>
      <c r="F29" s="91"/>
      <c r="G29" s="91"/>
      <c r="H29" s="96">
        <f>VLOOKUP($B29,'Lista de Entrevistas_BD'!$D$2:$M$121,8,FALSE)</f>
        <v>46098.583333333336</v>
      </c>
      <c r="I29" s="94" t="s">
        <v>1453</v>
      </c>
    </row>
    <row r="30" spans="1:9">
      <c r="A30" s="92">
        <v>29</v>
      </c>
      <c r="B30" s="90" t="s">
        <v>786</v>
      </c>
      <c r="C30" s="91" t="str">
        <f>VLOOKUP($B30,'Lista de Entrevistas_BD'!$D$2:$M$121,4,FALSE)</f>
        <v>Gerente Executivo Estratégia de Operações</v>
      </c>
      <c r="D30" s="91" t="str">
        <f>VLOOKUP($B30,'Lista de Entrevistas_BD'!$D$2:$M$121,5,FALSE)</f>
        <v>VP Rodovias</v>
      </c>
      <c r="E30" s="158" t="str">
        <f>VLOOKUP($B30,'Lista de Entrevistas_BD'!$D$2:$M$121,7,FALSE)</f>
        <v>Rodovias</v>
      </c>
      <c r="F30" s="90"/>
      <c r="G30" s="90"/>
      <c r="H30" s="96">
        <f>VLOOKUP($B30,'Lista de Entrevistas_BD'!$D$2:$M$121,8,FALSE)</f>
        <v>46099.583333333336</v>
      </c>
      <c r="I30" s="94" t="s">
        <v>1453</v>
      </c>
    </row>
    <row r="31" spans="1:9">
      <c r="A31" s="92">
        <v>30</v>
      </c>
      <c r="B31" s="91" t="s">
        <v>454</v>
      </c>
      <c r="C31" s="91" t="str">
        <f>VLOOKUP($B31,'Lista de Entrevistas_BD'!$D$2:$M$121,4,FALSE)</f>
        <v>Coordenador Compras Sustentáveis</v>
      </c>
      <c r="D31" s="91" t="str">
        <f>VLOOKUP($B31,'Lista de Entrevistas_BD'!$D$2:$M$121,5,FALSE)</f>
        <v>VP Financeiro e Relações Investidores</v>
      </c>
      <c r="E31" s="158" t="str">
        <f>VLOOKUP($B31,'Lista de Entrevistas_BD'!$D$2:$M$121,7,FALSE)</f>
        <v>Corporativo</v>
      </c>
      <c r="F31" s="91"/>
      <c r="G31" s="91"/>
      <c r="H31" s="96">
        <f>VLOOKUP($B31,'Lista de Entrevistas_BD'!$D$2:$M$121,8,FALSE)</f>
        <v>46100.583333333336</v>
      </c>
      <c r="I31" s="94" t="s">
        <v>1453</v>
      </c>
    </row>
    <row r="32" spans="1:9">
      <c r="A32" s="92">
        <v>31</v>
      </c>
      <c r="B32" s="90" t="s">
        <v>710</v>
      </c>
      <c r="C32" s="91" t="str">
        <f>VLOOKUP($B32,'Lista de Entrevistas_BD'!$D$2:$M$121,4,FALSE)</f>
        <v>Gerente PMO Rodovias</v>
      </c>
      <c r="D32" s="91" t="str">
        <f>VLOOKUP($B32,'Lista de Entrevistas_BD'!$D$2:$M$121,5,FALSE)</f>
        <v>VP Rodovias</v>
      </c>
      <c r="E32" s="158" t="str">
        <f>VLOOKUP($B32,'Lista de Entrevistas_BD'!$D$2:$M$121,7,FALSE)</f>
        <v>Rodovias</v>
      </c>
      <c r="F32" s="90"/>
      <c r="G32" s="90"/>
      <c r="H32" s="96">
        <f>VLOOKUP($B32,'Lista de Entrevistas_BD'!$D$2:$M$121,8,FALSE)</f>
        <v>46098.395833333336</v>
      </c>
      <c r="I32" s="94" t="s">
        <v>1453</v>
      </c>
    </row>
    <row r="33" spans="1:9">
      <c r="A33" s="92">
        <v>32</v>
      </c>
      <c r="B33" s="91" t="s">
        <v>801</v>
      </c>
      <c r="C33" s="91" t="str">
        <f>VLOOKUP($B33,'Lista de Entrevistas_BD'!$D$2:$M$121,4,FALSE)</f>
        <v>Diretor Unidade de Negócio - PR Vias</v>
      </c>
      <c r="D33" s="91" t="str">
        <f>VLOOKUP($B33,'Lista de Entrevistas_BD'!$D$2:$M$121,5,FALSE)</f>
        <v>VP Rodovias</v>
      </c>
      <c r="E33" s="158" t="str">
        <f>VLOOKUP($B33,'Lista de Entrevistas_BD'!$D$2:$M$121,7,FALSE)</f>
        <v>Rodovias</v>
      </c>
      <c r="F33" s="91"/>
      <c r="G33" s="91"/>
      <c r="H33" s="96">
        <f>VLOOKUP($B33,'Lista de Entrevistas_BD'!$D$2:$M$121,8,FALSE)</f>
        <v>46100.375</v>
      </c>
      <c r="I33" s="94" t="s">
        <v>1453</v>
      </c>
    </row>
    <row r="34" spans="1:9">
      <c r="A34" s="92">
        <v>33</v>
      </c>
      <c r="B34" s="90" t="s">
        <v>717</v>
      </c>
      <c r="C34" s="91" t="str">
        <f>VLOOKUP($B34,'Lista de Entrevistas_BD'!$D$2:$M$121,4,FALSE)</f>
        <v>Gerente PMO Rodovias</v>
      </c>
      <c r="D34" s="91" t="str">
        <f>VLOOKUP($B34,'Lista de Entrevistas_BD'!$D$2:$M$121,5,FALSE)</f>
        <v>VP Rodovias</v>
      </c>
      <c r="E34" s="158" t="str">
        <f>VLOOKUP($B34,'Lista de Entrevistas_BD'!$D$2:$M$121,7,FALSE)</f>
        <v>Rodovias</v>
      </c>
      <c r="F34" s="90"/>
      <c r="G34" s="90"/>
      <c r="H34" s="96">
        <f>VLOOKUP($B34,'Lista de Entrevistas_BD'!$D$2:$M$121,8,FALSE)</f>
        <v>46098.458333333336</v>
      </c>
      <c r="I34" s="94" t="s">
        <v>1453</v>
      </c>
    </row>
    <row r="35" spans="1:9">
      <c r="A35" s="92">
        <v>34</v>
      </c>
      <c r="B35" s="127" t="s">
        <v>642</v>
      </c>
      <c r="C35" s="91" t="str">
        <f>VLOOKUP($B35,'Lista de Entrevistas_BD'!$D$2:$M$121,4,FALSE)</f>
        <v>Coordenadora PMO</v>
      </c>
      <c r="D35" s="91" t="str">
        <f>VLOOKUP($B35,'Lista de Entrevistas_BD'!$D$2:$M$121,5,FALSE)</f>
        <v>VP Trilhos</v>
      </c>
      <c r="E35" s="158" t="str">
        <f>VLOOKUP($B35,'Lista de Entrevistas_BD'!$D$2:$M$121,7,FALSE)</f>
        <v>Trilhos</v>
      </c>
      <c r="F35" s="91"/>
      <c r="G35" s="91"/>
      <c r="H35" s="96">
        <f>VLOOKUP($B35,'Lista de Entrevistas_BD'!$D$2:$M$121,8,FALSE)</f>
        <v>46078.375</v>
      </c>
      <c r="I35" s="94" t="s">
        <v>1453</v>
      </c>
    </row>
    <row r="36" spans="1:9" ht="28.8">
      <c r="A36" s="92">
        <v>35</v>
      </c>
      <c r="B36" s="90" t="s">
        <v>697</v>
      </c>
      <c r="C36" s="91" t="str">
        <f>VLOOKUP($B36,'Lista de Entrevistas_BD'!$D$2:$M$121,4,FALSE)</f>
        <v>Gerente Executivo Desenvolvimento Negócios - Rodovias</v>
      </c>
      <c r="D36" s="91" t="str">
        <f>VLOOKUP($B36,'Lista de Entrevistas_BD'!$D$2:$M$121,5,FALSE)</f>
        <v>VP Rodovias</v>
      </c>
      <c r="E36" s="158" t="str">
        <f>VLOOKUP($B36,'Lista de Entrevistas_BD'!$D$2:$M$121,7,FALSE)</f>
        <v>Rodovias</v>
      </c>
      <c r="F36" s="90"/>
      <c r="G36" s="90"/>
      <c r="H36" s="96">
        <f>VLOOKUP($B36,'Lista de Entrevistas_BD'!$D$2:$M$121,8,FALSE)</f>
        <v>46097.666666666664</v>
      </c>
      <c r="I36" s="94" t="s">
        <v>1453</v>
      </c>
    </row>
    <row r="37" spans="1:9">
      <c r="A37" s="92">
        <v>36</v>
      </c>
      <c r="B37" s="91" t="s">
        <v>568</v>
      </c>
      <c r="C37" s="91" t="str">
        <f>VLOOKUP($B37,'Lista de Entrevistas_BD'!$D$2:$M$121,4,FALSE)</f>
        <v>Supervisora recebimento fiscal</v>
      </c>
      <c r="D37" s="91" t="str">
        <f>VLOOKUP($B37,'Lista de Entrevistas_BD'!$D$2:$M$121,5,FALSE)</f>
        <v>VP Finanças e Relações Investidores</v>
      </c>
      <c r="E37" s="158" t="str">
        <f>VLOOKUP($B37,'Lista de Entrevistas_BD'!$D$2:$M$121,7,FALSE)</f>
        <v>Corporativo</v>
      </c>
      <c r="F37" s="91"/>
      <c r="G37" s="91"/>
      <c r="H37" s="96">
        <f>VLOOKUP($B37,'Lista de Entrevistas_BD'!$D$2:$M$121,8,FALSE)</f>
        <v>46100.666666666664</v>
      </c>
      <c r="I37" s="94" t="s">
        <v>1453</v>
      </c>
    </row>
    <row r="38" spans="1:9">
      <c r="A38" s="92">
        <v>37</v>
      </c>
      <c r="B38" s="90" t="s">
        <v>572</v>
      </c>
      <c r="C38" s="91" t="str">
        <f>VLOOKUP($B38,'Lista de Entrevistas_BD'!$D$2:$M$121,4,FALSE)</f>
        <v>Gerente Executiva Jurídico</v>
      </c>
      <c r="D38" s="91" t="str">
        <f>VLOOKUP($B38,'Lista de Entrevistas_BD'!$D$2:$M$121,5,FALSE)</f>
        <v>VP Finanças e Relações Investidores</v>
      </c>
      <c r="E38" s="158" t="str">
        <f>VLOOKUP($B38,'Lista de Entrevistas_BD'!$D$2:$M$121,7,FALSE)</f>
        <v>Corporativo</v>
      </c>
      <c r="F38" s="90"/>
      <c r="G38" s="90"/>
      <c r="H38" s="96">
        <f>VLOOKUP($B38,'Lista de Entrevistas_BD'!$D$2:$M$121,8,FALSE)</f>
        <v>46098.708333333336</v>
      </c>
      <c r="I38" s="94" t="s">
        <v>1453</v>
      </c>
    </row>
    <row r="39" spans="1:9">
      <c r="A39" s="92">
        <v>38</v>
      </c>
      <c r="B39" s="91" t="s">
        <v>714</v>
      </c>
      <c r="C39" s="91" t="str">
        <f>VLOOKUP($B39,'Lista de Entrevistas_BD'!$D$2:$M$121,4,FALSE)</f>
        <v>Gerente PMO Rodovias</v>
      </c>
      <c r="D39" s="91" t="str">
        <f>VLOOKUP($B39,'Lista de Entrevistas_BD'!$D$2:$M$121,5,FALSE)</f>
        <v>VP Rodovias</v>
      </c>
      <c r="E39" s="158" t="str">
        <f>VLOOKUP($B39,'Lista de Entrevistas_BD'!$D$2:$M$121,7,FALSE)</f>
        <v>Rodovias</v>
      </c>
      <c r="F39" s="91"/>
      <c r="G39" s="91"/>
      <c r="H39" s="96">
        <f>VLOOKUP($B39,'Lista de Entrevistas_BD'!$D$2:$M$121,8,FALSE)</f>
        <v>46097.375</v>
      </c>
      <c r="I39" s="94" t="s">
        <v>1453</v>
      </c>
    </row>
    <row r="40" spans="1:9">
      <c r="A40" s="92">
        <v>39</v>
      </c>
      <c r="B40" s="90" t="s">
        <v>1220</v>
      </c>
      <c r="C40" s="91" t="str">
        <f>VLOOKUP($B40,'Lista de Entrevistas_BD'!$D$2:$M$121,4,FALSE)</f>
        <v>Diretor Unidade de Negócio - MS Via</v>
      </c>
      <c r="D40" s="91" t="str">
        <f>VLOOKUP($B40,'Lista de Entrevistas_BD'!$D$2:$M$121,5,FALSE)</f>
        <v>VP Rodovias</v>
      </c>
      <c r="E40" s="158" t="str">
        <f>VLOOKUP($B40,'Lista de Entrevistas_BD'!$D$2:$M$121,7,FALSE)</f>
        <v>Rodovias</v>
      </c>
      <c r="F40" s="90"/>
      <c r="G40" s="90"/>
      <c r="H40" s="96">
        <f>VLOOKUP($B40,'Lista de Entrevistas_BD'!$D$2:$M$121,8,FALSE)</f>
        <v>46100.625</v>
      </c>
      <c r="I40" s="94" t="s">
        <v>1453</v>
      </c>
    </row>
    <row r="41" spans="1:9" ht="28.8">
      <c r="A41" s="92">
        <v>40</v>
      </c>
      <c r="B41" s="91" t="s">
        <v>565</v>
      </c>
      <c r="C41" s="91" t="str">
        <f>VLOOKUP($B41,'Lista de Entrevistas_BD'!$D$2:$M$121,4,FALSE)</f>
        <v>Coordenadora Recebimento Integrado e Contas a pagar</v>
      </c>
      <c r="D41" s="91" t="str">
        <f>VLOOKUP($B41,'Lista de Entrevistas_BD'!$D$2:$M$121,5,FALSE)</f>
        <v>VP Finanças e Relações Investidores</v>
      </c>
      <c r="E41" s="158" t="str">
        <f>VLOOKUP($B41,'Lista de Entrevistas_BD'!$D$2:$M$121,7,FALSE)</f>
        <v>Corporativo</v>
      </c>
      <c r="F41" s="91"/>
      <c r="G41" s="91"/>
      <c r="H41" s="96">
        <f>VLOOKUP($B41,'Lista de Entrevistas_BD'!$D$2:$M$121,8,FALSE)</f>
        <v>46098.708333333336</v>
      </c>
      <c r="I41" s="94" t="s">
        <v>1453</v>
      </c>
    </row>
    <row r="42" spans="1:9">
      <c r="A42" s="92">
        <v>41</v>
      </c>
      <c r="B42" s="90" t="s">
        <v>561</v>
      </c>
      <c r="C42" s="91" t="str">
        <f>VLOOKUP($B42,'Lista de Entrevistas_BD'!$D$2:$M$121,4,FALSE)</f>
        <v>Gerente Executivo Financeiro e Seguros</v>
      </c>
      <c r="D42" s="91" t="str">
        <f>VLOOKUP($B42,'Lista de Entrevistas_BD'!$D$2:$M$121,5,FALSE)</f>
        <v>VP Finanças e Relações Investidores</v>
      </c>
      <c r="E42" s="158" t="str">
        <f>VLOOKUP($B42,'Lista de Entrevistas_BD'!$D$2:$M$121,7,FALSE)</f>
        <v>Corporativo</v>
      </c>
      <c r="F42" s="90"/>
      <c r="G42" s="90"/>
      <c r="H42" s="96">
        <f>VLOOKUP($B42,'Lista de Entrevistas_BD'!$D$2:$M$121,8,FALSE)</f>
        <v>46100.625</v>
      </c>
      <c r="I42" s="94" t="s">
        <v>1453</v>
      </c>
    </row>
    <row r="43" spans="1:9">
      <c r="A43" s="92">
        <v>42</v>
      </c>
      <c r="B43" s="91" t="s">
        <v>520</v>
      </c>
      <c r="C43" s="91" t="str">
        <f>VLOOKUP($B43,'Lista de Entrevistas_BD'!$D$2:$M$121,4,FALSE)</f>
        <v>Gerente Executivo Arquitetura Coporativo</v>
      </c>
      <c r="D43" s="91">
        <f>VLOOKUP($B43,'Lista de Entrevistas_BD'!$D$2:$M$121,5,FALSE)</f>
        <v>0</v>
      </c>
      <c r="E43" s="158" t="str">
        <f>VLOOKUP($B43,'Lista de Entrevistas_BD'!$D$2:$M$121,7,FALSE)</f>
        <v>Corporativo</v>
      </c>
      <c r="F43" s="91"/>
      <c r="G43" s="91"/>
      <c r="H43" s="96">
        <f>VLOOKUP($B43,'Lista de Entrevistas_BD'!$D$2:$M$121,8,FALSE)</f>
        <v>46097.625</v>
      </c>
      <c r="I43" s="94" t="s">
        <v>1453</v>
      </c>
    </row>
    <row r="44" spans="1:9">
      <c r="A44" s="92">
        <v>43</v>
      </c>
      <c r="B44" s="90" t="s">
        <v>793</v>
      </c>
      <c r="C44" s="91" t="str">
        <f>VLOOKUP($B44,'Lista de Entrevistas_BD'!$D$2:$M$121,4,FALSE)</f>
        <v>Gerente Executivo Segurança do Trabalho</v>
      </c>
      <c r="D44" s="91" t="str">
        <f>VLOOKUP($B44,'Lista de Entrevistas_BD'!$D$2:$M$121,5,FALSE)</f>
        <v>VP Rodovias</v>
      </c>
      <c r="E44" s="158" t="str">
        <f>VLOOKUP($B44,'Lista de Entrevistas_BD'!$D$2:$M$121,7,FALSE)</f>
        <v>Rodovias</v>
      </c>
      <c r="F44" s="90"/>
      <c r="G44" s="90"/>
      <c r="H44" s="96">
        <f>VLOOKUP($B44,'Lista de Entrevistas_BD'!$D$2:$M$121,8,FALSE)</f>
        <v>46099.666666666664</v>
      </c>
      <c r="I44" s="94" t="s">
        <v>1453</v>
      </c>
    </row>
    <row r="45" spans="1:9">
      <c r="A45" s="92">
        <v>44</v>
      </c>
      <c r="B45" s="91" t="s">
        <v>729</v>
      </c>
      <c r="C45" s="91" t="str">
        <f>VLOOKUP($B45,'Lista de Entrevistas_BD'!$D$2:$M$121,4,FALSE)</f>
        <v>Coordenadora de Riscos Engenharia</v>
      </c>
      <c r="D45" s="91" t="str">
        <f>VLOOKUP($B45,'Lista de Entrevistas_BD'!$D$2:$M$121,5,FALSE)</f>
        <v>VP Rodovias</v>
      </c>
      <c r="E45" s="158" t="str">
        <f>VLOOKUP($B45,'Lista de Entrevistas_BD'!$D$2:$M$121,7,FALSE)</f>
        <v>Rodovias</v>
      </c>
      <c r="F45" s="91"/>
      <c r="G45" s="91"/>
      <c r="H45" s="96">
        <f>VLOOKUP($B45,'Lista de Entrevistas_BD'!$D$2:$M$121,8,FALSE)</f>
        <v>46100.666666666664</v>
      </c>
      <c r="I45" s="94" t="s">
        <v>1453</v>
      </c>
    </row>
    <row r="46" spans="1:9">
      <c r="A46" s="92">
        <v>45</v>
      </c>
      <c r="B46" s="90" t="s">
        <v>521</v>
      </c>
      <c r="C46" s="91" t="str">
        <f>VLOOKUP($B46,'Lista de Entrevistas_BD'!$D$2:$M$121,4,FALSE)</f>
        <v>Arquiteto Corporativo</v>
      </c>
      <c r="D46" s="91" t="str">
        <f>VLOOKUP($B46,'Lista de Entrevistas_BD'!$D$2:$M$121,5,FALSE)</f>
        <v>VP Inovação, Tecnologia e Riscos</v>
      </c>
      <c r="E46" s="158" t="str">
        <f>VLOOKUP($B46,'Lista de Entrevistas_BD'!$D$2:$M$121,7,FALSE)</f>
        <v>Corporativo</v>
      </c>
      <c r="F46" s="90"/>
      <c r="G46" s="90"/>
      <c r="H46" s="96">
        <f>VLOOKUP($B46,'Lista de Entrevistas_BD'!$D$2:$M$121,8,FALSE)</f>
        <v>46098.666666666664</v>
      </c>
      <c r="I46" s="94" t="s">
        <v>1453</v>
      </c>
    </row>
    <row r="47" spans="1:9" ht="28.8">
      <c r="A47" s="92">
        <v>46</v>
      </c>
      <c r="B47" s="127" t="s">
        <v>1404</v>
      </c>
      <c r="C47" s="91" t="str">
        <f>VLOOKUP($B47,'Lista de Entrevistas_BD'!$D$2:$M$121,4,FALSE)</f>
        <v>Gerente Executivo de Desenvolvimento de Novos Negocios - Trilhos</v>
      </c>
      <c r="D47" s="91">
        <f>VLOOKUP($B47,'Lista de Entrevistas_BD'!$D$2:$M$121,5,FALSE)</f>
        <v>0</v>
      </c>
      <c r="E47" s="158" t="str">
        <f>VLOOKUP($B47,'Lista de Entrevistas_BD'!$D$2:$M$121,7,FALSE)</f>
        <v>Trilhos</v>
      </c>
      <c r="F47" s="90"/>
      <c r="G47" s="90"/>
      <c r="H47" s="96">
        <f>VLOOKUP($B47,'Lista de Entrevistas_BD'!$D$2:$M$121,8,FALSE)</f>
        <v>46099.541666666664</v>
      </c>
      <c r="I47" s="94" t="s">
        <v>1453</v>
      </c>
    </row>
    <row r="48" spans="1:9">
      <c r="A48" s="92">
        <v>47</v>
      </c>
      <c r="B48" s="91" t="s">
        <v>754</v>
      </c>
      <c r="C48" s="91" t="str">
        <f>VLOOKUP($B48,'Lista de Entrevistas_BD'!$D$2:$M$121,4,FALSE)</f>
        <v xml:space="preserve">Gerente Executivo Engenharia </v>
      </c>
      <c r="D48" s="91" t="str">
        <f>VLOOKUP($B48,'Lista de Entrevistas_BD'!$D$2:$M$121,5,FALSE)</f>
        <v>VP Rodovias</v>
      </c>
      <c r="E48" s="158" t="str">
        <f>VLOOKUP($B48,'Lista de Entrevistas_BD'!$D$2:$M$121,7,FALSE)</f>
        <v>Rodovias</v>
      </c>
      <c r="F48" s="90"/>
      <c r="G48" s="90"/>
      <c r="H48" s="96">
        <f>VLOOKUP($B48,'Lista de Entrevistas_BD'!$D$2:$M$121,8,FALSE)</f>
        <v>46101.583333333336</v>
      </c>
      <c r="I48" s="94" t="s">
        <v>1453</v>
      </c>
    </row>
    <row r="49" spans="1:9">
      <c r="A49" s="92">
        <v>48</v>
      </c>
      <c r="B49" s="91" t="s">
        <v>1265</v>
      </c>
      <c r="C49" s="91" t="str">
        <f>VLOOKUP($B49,'Lista de Entrevistas_BD'!$D$2:$M$121,4,FALSE)</f>
        <v>Gerente Executivo Soluções de Rodovias</v>
      </c>
      <c r="D49" s="91" t="str">
        <f>VLOOKUP($B49,'Lista de Entrevistas_BD'!$D$2:$M$121,5,FALSE)</f>
        <v>Fundamentais para iniciar</v>
      </c>
      <c r="E49" s="158" t="str">
        <f>VLOOKUP($B49,'Lista de Entrevistas_BD'!$D$2:$M$121,7,FALSE)</f>
        <v>Rodovias</v>
      </c>
      <c r="F49" s="90"/>
      <c r="G49" s="90"/>
      <c r="H49" s="96">
        <f>VLOOKUP($B49,'Lista de Entrevistas_BD'!$D$2:$M$121,8,FALSE)</f>
        <v>46105.625</v>
      </c>
      <c r="I49" s="94" t="s">
        <v>1453</v>
      </c>
    </row>
    <row r="50" spans="1:9">
      <c r="A50" s="92">
        <v>49</v>
      </c>
      <c r="B50" s="90" t="s">
        <v>508</v>
      </c>
      <c r="C50" s="91" t="str">
        <f>VLOOKUP($B50,'Lista de Entrevistas_BD'!$D$2:$M$121,4,FALSE)</f>
        <v>Gerente Executivo Soluções de Mobilidade</v>
      </c>
      <c r="D50" s="91" t="str">
        <f>VLOOKUP($B50,'Lista de Entrevistas_BD'!$D$2:$M$121,5,FALSE)</f>
        <v>VP Inovação, Tecnologia e Riscos</v>
      </c>
      <c r="E50" s="158" t="str">
        <f>VLOOKUP($B50,'Lista de Entrevistas_BD'!$D$2:$M$121,7,FALSE)</f>
        <v>Corporativo</v>
      </c>
      <c r="F50" s="90"/>
      <c r="G50" s="90"/>
      <c r="H50" s="96">
        <f>VLOOKUP($B50,'Lista de Entrevistas_BD'!$D$2:$M$121,8,FALSE)</f>
        <v>46101.583333333336</v>
      </c>
      <c r="I50" s="94" t="s">
        <v>1453</v>
      </c>
    </row>
    <row r="51" spans="1:9">
      <c r="A51" s="92">
        <v>50</v>
      </c>
      <c r="B51" s="90" t="s">
        <v>438</v>
      </c>
      <c r="C51" s="91" t="str">
        <f>VLOOKUP($B51,'Lista de Entrevistas_BD'!$D$2:$M$121,4,FALSE)</f>
        <v xml:space="preserve">Consultora Perfomance Negocio </v>
      </c>
      <c r="D51" s="91" t="str">
        <f>VLOOKUP($B51,'Lista de Entrevistas_BD'!$D$2:$M$121,5,FALSE)</f>
        <v>VP Financeiro e Relações Investidores</v>
      </c>
      <c r="E51" s="158" t="str">
        <f>VLOOKUP($B51,'Lista de Entrevistas_BD'!$D$2:$M$121,7,FALSE)</f>
        <v>Corporativo</v>
      </c>
      <c r="F51" s="90"/>
      <c r="G51" s="90"/>
      <c r="H51" s="96">
        <f>VLOOKUP($B51,'Lista de Entrevistas_BD'!$D$2:$M$121,8,FALSE)</f>
        <v>46106.604166666664</v>
      </c>
      <c r="I51" s="94" t="s">
        <v>1453</v>
      </c>
    </row>
    <row r="52" spans="1:9">
      <c r="A52" s="92">
        <v>51</v>
      </c>
      <c r="B52" s="90" t="s">
        <v>774</v>
      </c>
      <c r="C52" s="91" t="str">
        <f>VLOOKUP($B52,'Lista de Entrevistas_BD'!$D$2:$M$121,4,FALSE)</f>
        <v>Diretor de Operações - Rodovia</v>
      </c>
      <c r="D52" s="91" t="str">
        <f>VLOOKUP($B52,'Lista de Entrevistas_BD'!$D$2:$M$121,5,FALSE)</f>
        <v>VP Rodovias</v>
      </c>
      <c r="E52" s="158" t="str">
        <f>VLOOKUP($B52,'Lista de Entrevistas_BD'!$D$2:$M$121,7,FALSE)</f>
        <v>Rodovias</v>
      </c>
      <c r="F52" s="90"/>
      <c r="G52" s="90"/>
      <c r="H52" s="96">
        <f>VLOOKUP($B52,'Lista de Entrevistas_BD'!$D$2:$M$121,8,FALSE)</f>
        <v>46100.583333333336</v>
      </c>
      <c r="I52" s="94" t="s">
        <v>1453</v>
      </c>
    </row>
    <row r="53" spans="1:9">
      <c r="A53" s="92">
        <v>52</v>
      </c>
      <c r="B53" s="91" t="s">
        <v>442</v>
      </c>
      <c r="C53" s="91" t="str">
        <f>VLOOKUP($B53,'Lista de Entrevistas_BD'!$D$2:$M$121,4,FALSE)</f>
        <v>Analista Capex Jr</v>
      </c>
      <c r="D53" s="91" t="str">
        <f>VLOOKUP($B53,'Lista de Entrevistas_BD'!$D$2:$M$121,5,FALSE)</f>
        <v>VP Financeiro e Relações Investidores</v>
      </c>
      <c r="E53" s="158" t="str">
        <f>VLOOKUP($B53,'Lista de Entrevistas_BD'!$D$2:$M$121,7,FALSE)</f>
        <v>Corporativo</v>
      </c>
      <c r="F53" s="90"/>
      <c r="G53" s="90"/>
      <c r="H53" s="96">
        <f>VLOOKUP($B53,'Lista de Entrevistas_BD'!$D$2:$M$121,8,FALSE)</f>
        <v>46106.645833333336</v>
      </c>
      <c r="I53" s="94" t="s">
        <v>1453</v>
      </c>
    </row>
    <row r="54" spans="1:9">
      <c r="A54" s="92">
        <v>53</v>
      </c>
      <c r="B54" s="91" t="s">
        <v>675</v>
      </c>
      <c r="C54" s="91" t="str">
        <f>VLOOKUP($B54,'Lista de Entrevistas_BD'!$D$2:$M$121,4,FALSE)</f>
        <v>Gerente Executivo Contratos Concessões Mobilidade</v>
      </c>
      <c r="D54" s="91" t="str">
        <f>VLOOKUP($B54,'Lista de Entrevistas_BD'!$D$2:$M$121,5,FALSE)</f>
        <v>VP Trilhos</v>
      </c>
      <c r="E54" s="158" t="str">
        <f>VLOOKUP($B54,'Lista de Entrevistas_BD'!$D$2:$M$121,7,FALSE)</f>
        <v>Trilhos</v>
      </c>
      <c r="F54" s="90"/>
      <c r="G54" s="90"/>
      <c r="H54" s="96">
        <f>VLOOKUP($B54,'Lista de Entrevistas_BD'!$D$2:$M$121,8,FALSE)</f>
        <v>46101.666666666664</v>
      </c>
      <c r="I54" s="94" t="s">
        <v>1453</v>
      </c>
    </row>
    <row r="55" spans="1:9">
      <c r="A55" s="92">
        <v>54</v>
      </c>
      <c r="B55" s="90" t="s">
        <v>751</v>
      </c>
      <c r="C55" s="91" t="str">
        <f>VLOOKUP($B55,'Lista de Entrevistas_BD'!$D$2:$M$121,4,FALSE)</f>
        <v>Gerente Executivo Engenharia e Obras</v>
      </c>
      <c r="D55" s="91" t="str">
        <f>VLOOKUP($B55,'Lista de Entrevistas_BD'!$D$2:$M$121,5,FALSE)</f>
        <v>VP Rodovias</v>
      </c>
      <c r="E55" s="158" t="str">
        <f>VLOOKUP($B55,'Lista de Entrevistas_BD'!$D$2:$M$121,7,FALSE)</f>
        <v>Rodovias</v>
      </c>
      <c r="F55" s="90"/>
      <c r="G55" s="90"/>
      <c r="H55" s="96">
        <f>VLOOKUP($B55,'Lista de Entrevistas_BD'!$D$2:$M$121,8,FALSE)</f>
        <v>46106.666666666664</v>
      </c>
      <c r="I55" s="94" t="s">
        <v>1453</v>
      </c>
    </row>
    <row r="56" spans="1:9">
      <c r="A56" s="92">
        <v>55</v>
      </c>
      <c r="B56" s="90" t="s">
        <v>693</v>
      </c>
      <c r="C56" s="91" t="str">
        <f>VLOOKUP($B56,'Lista de Entrevistas_BD'!$D$2:$M$121,4,FALSE)</f>
        <v>Gerente Pavimentos</v>
      </c>
      <c r="D56" s="91" t="str">
        <f>VLOOKUP($B56,'Lista de Entrevistas_BD'!$D$2:$M$121,5,FALSE)</f>
        <v>VP Rodovias</v>
      </c>
      <c r="E56" s="158" t="str">
        <f>VLOOKUP($B56,'Lista de Entrevistas_BD'!$D$2:$M$121,7,FALSE)</f>
        <v>Rodovias</v>
      </c>
      <c r="F56" s="90"/>
      <c r="G56" s="90"/>
      <c r="H56" s="96">
        <f>VLOOKUP($B56,'Lista de Entrevistas_BD'!$D$2:$M$121,8,FALSE)</f>
        <v>46101.458333333336</v>
      </c>
      <c r="I56" s="94" t="s">
        <v>1453</v>
      </c>
    </row>
    <row r="57" spans="1:9">
      <c r="A57" s="92">
        <v>56</v>
      </c>
      <c r="B57" s="91" t="s">
        <v>428</v>
      </c>
      <c r="C57" s="91" t="str">
        <f>VLOOKUP($B57,'Lista de Entrevistas_BD'!$D$2:$M$121,4,FALSE)</f>
        <v>Diretor do Nucleo de Capex</v>
      </c>
      <c r="D57" s="91" t="str">
        <f>VLOOKUP($B57,'Lista de Entrevistas_BD'!$D$2:$M$121,5,FALSE)</f>
        <v>VP Financeiro e Relações Investidores</v>
      </c>
      <c r="E57" s="158" t="str">
        <f>VLOOKUP($B57,'Lista de Entrevistas_BD'!$D$2:$M$121,7,FALSE)</f>
        <v>Corporativo</v>
      </c>
      <c r="F57" s="90"/>
      <c r="G57" s="90"/>
      <c r="H57" s="96">
        <f>VLOOKUP($B57,'Lista de Entrevistas_BD'!$D$2:$M$121,8,FALSE)</f>
        <v>46107.458333333336</v>
      </c>
      <c r="I57" s="94" t="s">
        <v>1453</v>
      </c>
    </row>
    <row r="58" spans="1:9" ht="28.8">
      <c r="A58" s="92">
        <v>57</v>
      </c>
      <c r="B58" s="91" t="s">
        <v>671</v>
      </c>
      <c r="C58" s="91" t="str">
        <f>VLOOKUP($B58,'Lista de Entrevistas_BD'!$D$2:$M$121,4,FALSE)</f>
        <v>Diretor Financeiro, Desenvolvimento Novos Negócios e Contratos Concessões</v>
      </c>
      <c r="D58" s="91" t="str">
        <f>VLOOKUP($B58,'Lista de Entrevistas_BD'!$D$2:$M$121,5,FALSE)</f>
        <v>VP Trilhos</v>
      </c>
      <c r="E58" s="158" t="str">
        <f>VLOOKUP($B58,'Lista de Entrevistas_BD'!$D$2:$M$121,7,FALSE)</f>
        <v>Trilhos</v>
      </c>
      <c r="F58" s="90"/>
      <c r="G58" s="90"/>
      <c r="H58" s="96">
        <f>VLOOKUP($B58,'Lista de Entrevistas_BD'!$D$2:$M$121,8,FALSE)</f>
        <v>46093.6875</v>
      </c>
      <c r="I58" s="94" t="s">
        <v>1453</v>
      </c>
    </row>
    <row r="59" spans="1:9">
      <c r="A59" s="92">
        <v>58</v>
      </c>
      <c r="B59" s="160" t="s">
        <v>434</v>
      </c>
      <c r="C59" s="91" t="str">
        <f>VLOOKUP($B59,'Lista de Entrevistas_BD'!$D$2:$M$121,4,FALSE)</f>
        <v>Consultor Riscos Operacionais Capex</v>
      </c>
      <c r="D59" s="91" t="str">
        <f>VLOOKUP($B59,'Lista de Entrevistas_BD'!$D$2:$M$121,5,FALSE)</f>
        <v>VP Financeiro e Relações Investidores</v>
      </c>
      <c r="E59" s="158" t="str">
        <f>VLOOKUP($B59,'Lista de Entrevistas_BD'!$D$2:$M$121,7,FALSE)</f>
        <v>Corporativo</v>
      </c>
      <c r="F59" s="90"/>
      <c r="G59" s="90"/>
      <c r="H59" s="96">
        <f>VLOOKUP($B59,'Lista de Entrevistas_BD'!$D$2:$M$121,8,FALSE)</f>
        <v>46107.5</v>
      </c>
      <c r="I59" s="94" t="s">
        <v>1453</v>
      </c>
    </row>
    <row r="60" spans="1:9">
      <c r="A60" s="92">
        <v>59</v>
      </c>
      <c r="B60" s="90" t="s">
        <v>683</v>
      </c>
      <c r="C60" s="91">
        <f>VLOOKUP($B60,'Lista de Entrevistas_BD'!$D$2:$M$121,4,FALSE)</f>
        <v>0</v>
      </c>
      <c r="D60" s="91">
        <f>VLOOKUP($B60,'Lista de Entrevistas_BD'!$D$2:$M$121,5,FALSE)</f>
        <v>0</v>
      </c>
      <c r="E60" s="158" t="str">
        <f>VLOOKUP($B60,'Lista de Entrevistas_BD'!$D$2:$M$121,7,FALSE)</f>
        <v>Trilhos</v>
      </c>
      <c r="F60" s="90"/>
      <c r="G60" s="90"/>
      <c r="H60" s="96">
        <f>VLOOKUP($B60,'Lista de Entrevistas_BD'!$D$2:$M$121,8,FALSE)</f>
        <v>46094.666666666664</v>
      </c>
      <c r="I60" s="94" t="s">
        <v>1453</v>
      </c>
    </row>
    <row r="61" spans="1:9" ht="28.8">
      <c r="A61" s="92">
        <v>60</v>
      </c>
      <c r="B61" s="91" t="s">
        <v>489</v>
      </c>
      <c r="C61" s="91" t="str">
        <f>VLOOKUP($B61,'Lista de Entrevistas_BD'!$D$2:$M$121,4,FALSE)</f>
        <v>Diretor Vice Presidente Inovação, Tecnologia e Riscos</v>
      </c>
      <c r="D61" s="91" t="str">
        <f>VLOOKUP($B61,'Lista de Entrevistas_BD'!$D$2:$M$121,5,FALSE)</f>
        <v>VP Inovação, Tecnologia e Riscos</v>
      </c>
      <c r="E61" s="158" t="str">
        <f>VLOOKUP($B61,'Lista de Entrevistas_BD'!$D$2:$M$121,7,FALSE)</f>
        <v>Corporativo</v>
      </c>
      <c r="F61" s="90"/>
      <c r="G61" s="90"/>
      <c r="H61" s="96">
        <f>VLOOKUP($B61,'Lista de Entrevistas_BD'!$D$2:$M$121,8,FALSE)</f>
        <v>46107.583333333336</v>
      </c>
      <c r="I61" s="94" t="s">
        <v>1453</v>
      </c>
    </row>
    <row r="62" spans="1:9">
      <c r="A62" s="92">
        <v>61</v>
      </c>
      <c r="B62" s="90" t="s">
        <v>584</v>
      </c>
      <c r="C62" s="91" t="str">
        <f>VLOOKUP($B62,'Lista de Entrevistas_BD'!$D$2:$M$121,4,FALSE)</f>
        <v>Gerente Custos e Orçamento</v>
      </c>
      <c r="D62" s="91" t="str">
        <f>VLOOKUP($B62,'Lista de Entrevistas_BD'!$D$2:$M$121,5,FALSE)</f>
        <v>VP Finanças e Relações Investidores</v>
      </c>
      <c r="E62" s="158" t="str">
        <f>VLOOKUP($B62,'Lista de Entrevistas_BD'!$D$2:$M$121,7,FALSE)</f>
        <v>Corporativo</v>
      </c>
      <c r="F62" s="90"/>
      <c r="G62" s="90"/>
      <c r="H62" s="96">
        <f>VLOOKUP($B62,'Lista de Entrevistas_BD'!$D$2:$M$121,8,FALSE)</f>
        <v>46108.458333333336</v>
      </c>
      <c r="I62" s="94" t="s">
        <v>1453</v>
      </c>
    </row>
    <row r="63" spans="1:9">
      <c r="A63" s="92">
        <v>62</v>
      </c>
      <c r="B63" s="91" t="s">
        <v>472</v>
      </c>
      <c r="C63" s="91" t="str">
        <f>VLOOKUP($B63,'Lista de Entrevistas_BD'!$D$2:$M$121,4,FALSE)</f>
        <v>Consultor Relações Investidores</v>
      </c>
      <c r="D63" s="91" t="str">
        <f>VLOOKUP($B63,'Lista de Entrevistas_BD'!$D$2:$M$121,5,FALSE)</f>
        <v>VP Financeiro e Relações Investidores</v>
      </c>
      <c r="E63" s="158" t="str">
        <f>VLOOKUP($B63,'Lista de Entrevistas_BD'!$D$2:$M$121,7,FALSE)</f>
        <v>Corporativo</v>
      </c>
      <c r="F63" s="90"/>
      <c r="G63" s="90"/>
      <c r="H63" s="96">
        <f>VLOOKUP($B63,'Lista de Entrevistas_BD'!$D$2:$M$121,8,FALSE)</f>
        <v>46111.583333333336</v>
      </c>
      <c r="I63" s="94" t="s">
        <v>1453</v>
      </c>
    </row>
    <row r="64" spans="1:9">
      <c r="A64" s="92">
        <v>63</v>
      </c>
      <c r="B64" s="90" t="s">
        <v>532</v>
      </c>
      <c r="C64" s="91" t="str">
        <f>VLOOKUP($B64,'Lista de Entrevistas_BD'!$D$2:$M$121,4,FALSE)</f>
        <v xml:space="preserve">Coordenadora Soluções Engenharia </v>
      </c>
      <c r="D64" s="91" t="str">
        <f>VLOOKUP($B64,'Lista de Entrevistas_BD'!$D$2:$M$121,5,FALSE)</f>
        <v>VP Inovação, Tecnologia e Riscos</v>
      </c>
      <c r="E64" s="158" t="str">
        <f>VLOOKUP($B64,'Lista de Entrevistas_BD'!$D$2:$M$121,7,FALSE)</f>
        <v>Corporativo</v>
      </c>
      <c r="F64" s="90"/>
      <c r="G64" s="90"/>
      <c r="H64" s="96">
        <f>VLOOKUP($B64,'Lista de Entrevistas_BD'!$D$2:$M$121,8,FALSE)</f>
        <v>46111.583333333336</v>
      </c>
      <c r="I64" s="94" t="s">
        <v>1453</v>
      </c>
    </row>
    <row r="65" spans="1:9">
      <c r="A65" s="92">
        <v>64</v>
      </c>
      <c r="B65" s="159" t="s">
        <v>468</v>
      </c>
      <c r="C65" s="91" t="str">
        <f>VLOOKUP($B65,'Lista de Entrevistas_BD'!$D$2:$M$121,4,FALSE)</f>
        <v>Diretora de Relação Investidores</v>
      </c>
      <c r="D65" s="91" t="str">
        <f>VLOOKUP($B65,'Lista de Entrevistas_BD'!$D$2:$M$121,5,FALSE)</f>
        <v>VP Financeiro e Relações Investidores</v>
      </c>
      <c r="E65" s="158" t="str">
        <f>VLOOKUP($B65,'Lista de Entrevistas_BD'!$D$2:$M$121,7,FALSE)</f>
        <v>Corporativo</v>
      </c>
      <c r="F65" s="90"/>
      <c r="G65" s="90"/>
      <c r="H65" s="96">
        <f>VLOOKUP($B65,'Lista de Entrevistas_BD'!$D$2:$M$121,8,FALSE)</f>
        <v>46112.583333333336</v>
      </c>
      <c r="I65" s="94" t="s">
        <v>1453</v>
      </c>
    </row>
    <row r="66" spans="1:9" ht="28.8">
      <c r="A66" s="92">
        <v>65</v>
      </c>
      <c r="B66" s="90" t="s">
        <v>1456</v>
      </c>
      <c r="C66" s="91" t="s">
        <v>670</v>
      </c>
      <c r="D66" s="91" t="s">
        <v>627</v>
      </c>
      <c r="E66" s="158" t="s">
        <v>121</v>
      </c>
      <c r="F66" s="90" t="s">
        <v>100</v>
      </c>
      <c r="G66" s="90" t="s">
        <v>83</v>
      </c>
      <c r="H66" s="96">
        <v>46107</v>
      </c>
      <c r="I66" s="92" t="s">
        <v>1454</v>
      </c>
    </row>
    <row r="67" spans="1:9" ht="28.8">
      <c r="A67" s="92">
        <v>66</v>
      </c>
      <c r="B67" s="91" t="s">
        <v>1457</v>
      </c>
      <c r="C67" s="91" t="s">
        <v>713</v>
      </c>
      <c r="D67" s="91" t="s">
        <v>688</v>
      </c>
      <c r="E67" s="158" t="s">
        <v>199</v>
      </c>
      <c r="F67" s="90"/>
      <c r="G67" s="90"/>
      <c r="H67" s="96">
        <v>46104</v>
      </c>
      <c r="I67" s="92" t="s">
        <v>1454</v>
      </c>
    </row>
    <row r="68" spans="1:9" ht="28.8">
      <c r="A68" s="92">
        <v>67</v>
      </c>
      <c r="B68" s="90" t="s">
        <v>1458</v>
      </c>
      <c r="C68" s="91" t="s">
        <v>1402</v>
      </c>
      <c r="D68" s="91" t="s">
        <v>627</v>
      </c>
      <c r="E68" s="158" t="s">
        <v>121</v>
      </c>
      <c r="F68" s="90"/>
      <c r="G68" s="90"/>
      <c r="H68" s="96">
        <v>46085</v>
      </c>
      <c r="I68" s="92" t="s">
        <v>1454</v>
      </c>
    </row>
    <row r="69" spans="1:9" ht="28.8">
      <c r="A69" s="92">
        <v>68</v>
      </c>
      <c r="B69" s="91" t="s">
        <v>1459</v>
      </c>
      <c r="C69" s="91" t="e">
        <f>VLOOKUP($B69,'Lista de Entrevistas_BD'!$D$2:$M$121,4,FALSE)</f>
        <v>#N/A</v>
      </c>
      <c r="D69" s="91" t="e">
        <f>VLOOKUP($B69,'Lista de Entrevistas_BD'!$D$2:$M$121,5,FALSE)</f>
        <v>#N/A</v>
      </c>
      <c r="E69" s="158" t="s">
        <v>121</v>
      </c>
      <c r="F69" s="90"/>
      <c r="G69" s="90"/>
      <c r="H69" s="96">
        <v>46106</v>
      </c>
      <c r="I69" s="92" t="s">
        <v>1454</v>
      </c>
    </row>
    <row r="70" spans="1:9" ht="43.2">
      <c r="A70" s="92">
        <v>69</v>
      </c>
      <c r="B70" s="90" t="s">
        <v>1460</v>
      </c>
      <c r="C70" s="91" t="s">
        <v>1402</v>
      </c>
      <c r="D70" s="91" t="s">
        <v>627</v>
      </c>
      <c r="E70" s="158" t="s">
        <v>121</v>
      </c>
      <c r="F70" s="90" t="s">
        <v>1455</v>
      </c>
      <c r="G70" s="90"/>
      <c r="H70" s="96">
        <v>46112</v>
      </c>
      <c r="I70" s="92" t="s">
        <v>1454</v>
      </c>
    </row>
    <row r="71" spans="1:9">
      <c r="A71" s="94"/>
      <c r="B71" s="91"/>
      <c r="C71" s="91"/>
      <c r="D71" s="91"/>
      <c r="E71" s="94"/>
      <c r="F71" s="91"/>
      <c r="G71" s="91"/>
      <c r="H71" s="91"/>
      <c r="I71" s="94"/>
    </row>
    <row r="72" spans="1:9">
      <c r="A72" s="92"/>
      <c r="B72" s="90"/>
      <c r="C72" s="90"/>
      <c r="D72" s="90"/>
      <c r="E72" s="92"/>
      <c r="F72" s="90"/>
      <c r="G72" s="90"/>
      <c r="H72" s="90"/>
      <c r="I72" s="92"/>
    </row>
    <row r="73" spans="1:9">
      <c r="A73" s="94"/>
      <c r="B73" s="91"/>
      <c r="C73" s="91"/>
      <c r="D73" s="91"/>
      <c r="E73" s="94"/>
      <c r="F73" s="91"/>
      <c r="G73" s="91"/>
      <c r="H73" s="91"/>
      <c r="I73" s="94"/>
    </row>
    <row r="74" spans="1:9">
      <c r="A74" s="92"/>
      <c r="B74" s="90"/>
      <c r="C74" s="90"/>
      <c r="D74" s="90"/>
      <c r="E74" s="92"/>
      <c r="F74" s="90"/>
      <c r="G74" s="90"/>
      <c r="H74" s="90"/>
      <c r="I74" s="92"/>
    </row>
    <row r="75" spans="1:9">
      <c r="A75" s="94"/>
      <c r="B75" s="91"/>
      <c r="C75" s="91"/>
      <c r="D75" s="91"/>
      <c r="E75" s="94"/>
      <c r="F75" s="91"/>
      <c r="G75" s="91"/>
      <c r="H75" s="91"/>
      <c r="I75" s="94"/>
    </row>
    <row r="76" spans="1:9">
      <c r="A76" s="92"/>
      <c r="B76" s="90"/>
      <c r="C76" s="90"/>
      <c r="D76" s="90"/>
      <c r="E76" s="92"/>
      <c r="F76" s="90"/>
      <c r="G76" s="90"/>
      <c r="H76" s="90"/>
      <c r="I76" s="92"/>
    </row>
    <row r="77" spans="1:9">
      <c r="A77" s="94"/>
      <c r="B77" s="91"/>
      <c r="C77" s="91"/>
      <c r="D77" s="91"/>
      <c r="E77" s="94"/>
      <c r="F77" s="91"/>
      <c r="G77" s="91"/>
      <c r="H77" s="91"/>
      <c r="I77" s="94"/>
    </row>
    <row r="78" spans="1:9">
      <c r="A78" s="92"/>
      <c r="B78" s="90"/>
      <c r="C78" s="90"/>
      <c r="D78" s="90"/>
      <c r="E78" s="92"/>
      <c r="F78" s="90"/>
      <c r="G78" s="90"/>
      <c r="H78" s="90"/>
      <c r="I78" s="92"/>
    </row>
    <row r="79" spans="1:9">
      <c r="A79" s="94"/>
      <c r="B79" s="91"/>
      <c r="C79" s="91"/>
      <c r="D79" s="91"/>
      <c r="E79" s="94"/>
      <c r="F79" s="91"/>
      <c r="G79" s="91"/>
      <c r="H79" s="91"/>
      <c r="I79" s="94"/>
    </row>
    <row r="80" spans="1:9">
      <c r="A80" s="92"/>
      <c r="B80" s="90"/>
      <c r="C80" s="90"/>
      <c r="D80" s="90"/>
      <c r="E80" s="92"/>
      <c r="F80" s="90"/>
      <c r="G80" s="90"/>
      <c r="H80" s="90"/>
      <c r="I80" s="92"/>
    </row>
    <row r="81" spans="1:9">
      <c r="A81" s="94"/>
      <c r="B81" s="91"/>
      <c r="C81" s="91"/>
      <c r="D81" s="91"/>
      <c r="E81" s="94"/>
      <c r="F81" s="91"/>
      <c r="G81" s="91"/>
      <c r="H81" s="91"/>
      <c r="I81" s="94"/>
    </row>
    <row r="82" spans="1:9">
      <c r="A82" s="92"/>
      <c r="B82" s="90"/>
      <c r="C82" s="90"/>
      <c r="D82" s="90"/>
      <c r="E82" s="92"/>
      <c r="F82" s="90"/>
      <c r="G82" s="90"/>
      <c r="H82" s="90"/>
      <c r="I82" s="92"/>
    </row>
    <row r="83" spans="1:9">
      <c r="A83" s="94"/>
      <c r="B83" s="91"/>
      <c r="C83" s="91"/>
      <c r="D83" s="91"/>
      <c r="E83" s="94"/>
      <c r="F83" s="91"/>
      <c r="G83" s="91"/>
      <c r="H83" s="91"/>
      <c r="I83" s="94"/>
    </row>
    <row r="84" spans="1:9">
      <c r="A84" s="92"/>
      <c r="B84" s="90"/>
      <c r="C84" s="90"/>
      <c r="D84" s="90"/>
      <c r="E84" s="92"/>
      <c r="F84" s="90"/>
      <c r="G84" s="90"/>
      <c r="H84" s="90"/>
      <c r="I84" s="92"/>
    </row>
    <row r="85" spans="1:9">
      <c r="A85" s="94"/>
      <c r="B85" s="91"/>
      <c r="C85" s="91"/>
      <c r="D85" s="91"/>
      <c r="E85" s="94"/>
      <c r="F85" s="91"/>
      <c r="G85" s="91"/>
      <c r="H85" s="91"/>
      <c r="I85" s="94"/>
    </row>
    <row r="86" spans="1:9">
      <c r="A86" s="92"/>
      <c r="B86" s="90"/>
      <c r="C86" s="90"/>
      <c r="D86" s="90"/>
      <c r="E86" s="92"/>
      <c r="F86" s="90"/>
      <c r="G86" s="90"/>
      <c r="H86" s="90"/>
      <c r="I86" s="92"/>
    </row>
    <row r="87" spans="1:9">
      <c r="A87" s="94"/>
      <c r="B87" s="91"/>
      <c r="C87" s="91"/>
      <c r="D87" s="91"/>
      <c r="E87" s="94"/>
      <c r="F87" s="91"/>
      <c r="G87" s="91"/>
      <c r="H87" s="91"/>
      <c r="I87" s="94"/>
    </row>
    <row r="88" spans="1:9">
      <c r="A88" s="92"/>
      <c r="B88" s="90"/>
      <c r="C88" s="90"/>
      <c r="D88" s="90"/>
      <c r="E88" s="92"/>
      <c r="F88" s="90"/>
      <c r="G88" s="90"/>
      <c r="H88" s="90"/>
      <c r="I88" s="92"/>
    </row>
    <row r="89" spans="1:9">
      <c r="A89" s="94"/>
      <c r="B89" s="91"/>
      <c r="C89" s="91"/>
      <c r="D89" s="91"/>
      <c r="E89" s="94"/>
      <c r="F89" s="91"/>
      <c r="G89" s="91"/>
      <c r="H89" s="91"/>
      <c r="I89" s="94"/>
    </row>
    <row r="90" spans="1:9">
      <c r="A90" s="92"/>
      <c r="B90" s="90"/>
      <c r="C90" s="90"/>
      <c r="D90" s="90"/>
      <c r="E90" s="92"/>
      <c r="F90" s="90"/>
      <c r="G90" s="90"/>
      <c r="H90" s="90"/>
      <c r="I90" s="92"/>
    </row>
    <row r="91" spans="1:9">
      <c r="A91" s="94"/>
      <c r="B91" s="91"/>
      <c r="C91" s="91"/>
      <c r="D91" s="91"/>
      <c r="E91" s="94"/>
      <c r="F91" s="91"/>
      <c r="G91" s="91"/>
      <c r="H91" s="91"/>
      <c r="I91" s="94"/>
    </row>
    <row r="92" spans="1:9">
      <c r="A92" s="92"/>
      <c r="B92" s="90"/>
      <c r="C92" s="90"/>
      <c r="D92" s="90"/>
      <c r="E92" s="92"/>
      <c r="F92" s="90"/>
      <c r="G92" s="90"/>
      <c r="H92" s="90"/>
      <c r="I92" s="92"/>
    </row>
    <row r="93" spans="1:9">
      <c r="A93" s="94"/>
      <c r="B93" s="91"/>
      <c r="C93" s="91"/>
      <c r="D93" s="91"/>
      <c r="E93" s="94"/>
      <c r="F93" s="91"/>
      <c r="G93" s="91"/>
      <c r="H93" s="91"/>
      <c r="I93" s="94"/>
    </row>
    <row r="94" spans="1:9">
      <c r="A94" s="92"/>
      <c r="B94" s="90"/>
      <c r="C94" s="90"/>
      <c r="D94" s="90"/>
      <c r="E94" s="92"/>
      <c r="F94" s="90"/>
      <c r="G94" s="90"/>
      <c r="H94" s="90"/>
      <c r="I94" s="92"/>
    </row>
    <row r="95" spans="1:9">
      <c r="A95" s="94"/>
      <c r="B95" s="91"/>
      <c r="C95" s="91"/>
      <c r="D95" s="91"/>
      <c r="E95" s="94"/>
      <c r="F95" s="91"/>
      <c r="G95" s="91"/>
      <c r="H95" s="91"/>
      <c r="I95" s="94"/>
    </row>
    <row r="96" spans="1:9">
      <c r="A96" s="92"/>
      <c r="B96" s="90"/>
      <c r="C96" s="90"/>
      <c r="D96" s="90"/>
      <c r="E96" s="92"/>
      <c r="F96" s="90"/>
      <c r="G96" s="90"/>
      <c r="H96" s="90"/>
      <c r="I96" s="92"/>
    </row>
    <row r="97" spans="1:9">
      <c r="A97" s="94"/>
      <c r="B97" s="91"/>
      <c r="C97" s="91"/>
      <c r="D97" s="91"/>
      <c r="E97" s="94"/>
      <c r="F97" s="91"/>
      <c r="G97" s="91"/>
      <c r="H97" s="91"/>
      <c r="I97" s="94"/>
    </row>
    <row r="98" spans="1:9">
      <c r="A98" s="92"/>
      <c r="B98" s="90"/>
      <c r="C98" s="90"/>
      <c r="D98" s="90"/>
      <c r="E98" s="92"/>
      <c r="F98" s="90"/>
      <c r="G98" s="90"/>
      <c r="H98" s="90"/>
      <c r="I98" s="92"/>
    </row>
    <row r="99" spans="1:9">
      <c r="A99" s="94"/>
      <c r="B99" s="91"/>
      <c r="C99" s="91"/>
      <c r="D99" s="91"/>
      <c r="E99" s="94"/>
      <c r="F99" s="91"/>
      <c r="G99" s="91"/>
      <c r="H99" s="91"/>
      <c r="I99" s="94"/>
    </row>
    <row r="100" spans="1:9">
      <c r="A100" s="92"/>
      <c r="B100" s="90"/>
      <c r="C100" s="90"/>
      <c r="D100" s="90"/>
      <c r="E100" s="92"/>
      <c r="F100" s="90"/>
      <c r="G100" s="90"/>
      <c r="H100" s="90"/>
      <c r="I100" s="92"/>
    </row>
    <row r="101" spans="1:9">
      <c r="A101" s="94"/>
      <c r="B101" s="91"/>
      <c r="C101" s="91"/>
      <c r="D101" s="91"/>
      <c r="E101" s="94"/>
      <c r="F101" s="91"/>
      <c r="G101" s="91"/>
      <c r="H101" s="91"/>
      <c r="I101" s="94"/>
    </row>
    <row r="102" spans="1:9">
      <c r="A102" s="92"/>
      <c r="B102" s="90"/>
      <c r="C102" s="90"/>
      <c r="D102" s="90"/>
      <c r="E102" s="92"/>
      <c r="F102" s="90"/>
      <c r="G102" s="90"/>
      <c r="H102" s="90"/>
      <c r="I102" s="92"/>
    </row>
    <row r="103" spans="1:9">
      <c r="A103" s="94"/>
      <c r="B103" s="91"/>
      <c r="C103" s="91"/>
      <c r="D103" s="91"/>
      <c r="E103" s="94"/>
      <c r="F103" s="91"/>
      <c r="G103" s="91"/>
      <c r="H103" s="91"/>
      <c r="I103" s="94"/>
    </row>
    <row r="104" spans="1:9">
      <c r="A104" s="92"/>
      <c r="B104" s="90"/>
      <c r="C104" s="90"/>
      <c r="D104" s="90"/>
      <c r="E104" s="92"/>
      <c r="F104" s="90"/>
      <c r="G104" s="90"/>
      <c r="H104" s="90"/>
      <c r="I104" s="92"/>
    </row>
    <row r="105" spans="1:9">
      <c r="A105" s="94"/>
      <c r="B105" s="91"/>
      <c r="C105" s="91"/>
      <c r="D105" s="91"/>
      <c r="E105" s="94"/>
      <c r="F105" s="91"/>
      <c r="G105" s="91"/>
      <c r="H105" s="91"/>
      <c r="I105" s="94"/>
    </row>
    <row r="106" spans="1:9">
      <c r="A106" s="92"/>
      <c r="B106" s="90"/>
      <c r="C106" s="90"/>
      <c r="D106" s="90"/>
      <c r="E106" s="92"/>
      <c r="F106" s="90"/>
      <c r="G106" s="90"/>
      <c r="H106" s="90"/>
      <c r="I106" s="92"/>
    </row>
    <row r="107" spans="1:9">
      <c r="A107" s="94"/>
      <c r="B107" s="91"/>
      <c r="C107" s="91"/>
      <c r="D107" s="91"/>
      <c r="E107" s="94"/>
      <c r="F107" s="91"/>
      <c r="G107" s="91"/>
      <c r="H107" s="91"/>
      <c r="I107" s="94"/>
    </row>
    <row r="108" spans="1:9">
      <c r="A108" s="92"/>
      <c r="B108" s="90"/>
      <c r="C108" s="90"/>
      <c r="D108" s="90"/>
      <c r="E108" s="92"/>
      <c r="F108" s="90"/>
      <c r="G108" s="90"/>
      <c r="H108" s="90"/>
      <c r="I108" s="92"/>
    </row>
    <row r="109" spans="1:9">
      <c r="A109" s="94"/>
      <c r="B109" s="91"/>
      <c r="C109" s="91"/>
      <c r="D109" s="91"/>
      <c r="E109" s="94"/>
      <c r="F109" s="91"/>
      <c r="G109" s="91"/>
      <c r="H109" s="91"/>
      <c r="I109" s="94"/>
    </row>
    <row r="110" spans="1:9">
      <c r="A110" s="92"/>
      <c r="B110" s="90"/>
      <c r="C110" s="90"/>
      <c r="D110" s="90"/>
      <c r="E110" s="92"/>
      <c r="F110" s="90"/>
      <c r="G110" s="90"/>
      <c r="H110" s="90"/>
      <c r="I110" s="92"/>
    </row>
    <row r="111" spans="1:9">
      <c r="A111" s="94"/>
      <c r="B111" s="91"/>
      <c r="C111" s="91"/>
      <c r="D111" s="91"/>
      <c r="E111" s="94"/>
      <c r="F111" s="91"/>
      <c r="G111" s="91"/>
      <c r="H111" s="91"/>
      <c r="I111" s="94"/>
    </row>
    <row r="112" spans="1:9">
      <c r="A112" s="92"/>
      <c r="B112" s="90"/>
      <c r="C112" s="90"/>
      <c r="D112" s="90"/>
      <c r="E112" s="92"/>
      <c r="F112" s="90"/>
      <c r="G112" s="90"/>
      <c r="H112" s="90"/>
      <c r="I112" s="92"/>
    </row>
    <row r="113" spans="1:9">
      <c r="A113" s="94"/>
      <c r="B113" s="91"/>
      <c r="C113" s="91"/>
      <c r="D113" s="91"/>
      <c r="E113" s="94"/>
      <c r="F113" s="91"/>
      <c r="G113" s="91"/>
      <c r="H113" s="91"/>
      <c r="I113" s="94"/>
    </row>
    <row r="114" spans="1:9">
      <c r="A114" s="92"/>
      <c r="B114" s="90"/>
      <c r="C114" s="90"/>
      <c r="D114" s="90"/>
      <c r="E114" s="92"/>
      <c r="F114" s="90"/>
      <c r="G114" s="90"/>
      <c r="H114" s="90"/>
      <c r="I114" s="92"/>
    </row>
    <row r="115" spans="1:9">
      <c r="A115" s="94"/>
      <c r="B115" s="91"/>
      <c r="C115" s="91"/>
      <c r="D115" s="91"/>
      <c r="E115" s="94"/>
      <c r="F115" s="91"/>
      <c r="G115" s="91"/>
      <c r="H115" s="91"/>
      <c r="I115" s="94"/>
    </row>
    <row r="116" spans="1:9">
      <c r="A116" s="92"/>
      <c r="B116" s="90"/>
      <c r="C116" s="90"/>
      <c r="D116" s="90"/>
      <c r="E116" s="92"/>
      <c r="F116" s="90"/>
      <c r="G116" s="90"/>
      <c r="H116" s="90"/>
      <c r="I116" s="92"/>
    </row>
    <row r="117" spans="1:9">
      <c r="A117" s="94"/>
      <c r="B117" s="91"/>
      <c r="C117" s="91"/>
      <c r="D117" s="91"/>
      <c r="E117" s="94"/>
      <c r="F117" s="91"/>
      <c r="G117" s="91"/>
      <c r="H117" s="91"/>
      <c r="I117" s="94"/>
    </row>
    <row r="118" spans="1:9">
      <c r="A118" s="92"/>
      <c r="B118" s="90"/>
      <c r="C118" s="90"/>
      <c r="D118" s="90"/>
      <c r="E118" s="92"/>
      <c r="F118" s="90"/>
      <c r="G118" s="90"/>
      <c r="H118" s="90"/>
      <c r="I118" s="92"/>
    </row>
    <row r="119" spans="1:9">
      <c r="A119" s="94"/>
      <c r="B119" s="91"/>
      <c r="C119" s="91"/>
      <c r="D119" s="91"/>
      <c r="E119" s="94"/>
      <c r="F119" s="91"/>
      <c r="G119" s="91"/>
      <c r="H119" s="91"/>
      <c r="I119" s="94"/>
    </row>
    <row r="120" spans="1:9">
      <c r="A120" s="92"/>
      <c r="B120" s="90"/>
      <c r="C120" s="90"/>
      <c r="D120" s="90"/>
      <c r="E120" s="92"/>
      <c r="F120" s="90"/>
      <c r="G120" s="90"/>
      <c r="H120" s="90"/>
      <c r="I120" s="92"/>
    </row>
    <row r="121" spans="1:9">
      <c r="A121" s="94"/>
      <c r="B121" s="91"/>
      <c r="C121" s="91"/>
      <c r="D121" s="91"/>
      <c r="E121" s="94"/>
      <c r="F121" s="91"/>
      <c r="G121" s="91"/>
      <c r="H121" s="91"/>
      <c r="I121" s="94"/>
    </row>
    <row r="122" spans="1:9">
      <c r="A122" s="92"/>
      <c r="B122" s="90"/>
      <c r="C122" s="90"/>
      <c r="D122" s="90"/>
      <c r="E122" s="92"/>
      <c r="F122" s="90"/>
      <c r="G122" s="90"/>
      <c r="H122" s="90"/>
      <c r="I122" s="92"/>
    </row>
    <row r="123" spans="1:9">
      <c r="A123" s="94"/>
      <c r="B123" s="91"/>
      <c r="C123" s="91"/>
      <c r="D123" s="91"/>
      <c r="E123" s="94"/>
      <c r="F123" s="91"/>
      <c r="G123" s="91"/>
      <c r="H123" s="91"/>
      <c r="I123" s="94"/>
    </row>
    <row r="124" spans="1:9">
      <c r="A124" s="92"/>
      <c r="B124" s="90"/>
      <c r="C124" s="90"/>
      <c r="D124" s="90"/>
      <c r="E124" s="92"/>
      <c r="F124" s="90"/>
      <c r="G124" s="90"/>
      <c r="H124" s="90"/>
      <c r="I124" s="92"/>
    </row>
    <row r="125" spans="1:9">
      <c r="A125" s="94"/>
      <c r="B125" s="91"/>
      <c r="C125" s="91"/>
      <c r="D125" s="91"/>
      <c r="E125" s="94"/>
      <c r="F125" s="91"/>
      <c r="G125" s="91"/>
      <c r="H125" s="91"/>
      <c r="I125" s="94"/>
    </row>
    <row r="126" spans="1:9">
      <c r="A126" s="92"/>
      <c r="B126" s="90"/>
      <c r="C126" s="90"/>
      <c r="D126" s="90"/>
      <c r="E126" s="92"/>
      <c r="F126" s="90"/>
      <c r="G126" s="90"/>
      <c r="H126" s="90"/>
      <c r="I126" s="92"/>
    </row>
    <row r="127" spans="1:9">
      <c r="A127" s="94"/>
      <c r="B127" s="91"/>
      <c r="C127" s="91"/>
      <c r="D127" s="91"/>
      <c r="E127" s="94"/>
      <c r="F127" s="91"/>
      <c r="G127" s="91"/>
      <c r="H127" s="91"/>
      <c r="I127" s="94"/>
    </row>
    <row r="128" spans="1:9">
      <c r="A128" s="92"/>
      <c r="B128" s="90"/>
      <c r="C128" s="90"/>
      <c r="D128" s="90"/>
      <c r="E128" s="92"/>
      <c r="F128" s="90"/>
      <c r="G128" s="90"/>
      <c r="H128" s="90"/>
      <c r="I128" s="92"/>
    </row>
    <row r="129" spans="1:9">
      <c r="A129" s="94"/>
      <c r="B129" s="91"/>
      <c r="C129" s="91"/>
      <c r="D129" s="91"/>
      <c r="E129" s="94"/>
      <c r="F129" s="91"/>
      <c r="G129" s="91"/>
      <c r="H129" s="91"/>
      <c r="I129" s="94"/>
    </row>
    <row r="130" spans="1:9">
      <c r="A130" s="92"/>
      <c r="B130" s="90"/>
      <c r="C130" s="90"/>
      <c r="D130" s="90"/>
      <c r="E130" s="92"/>
      <c r="F130" s="90"/>
      <c r="G130" s="90"/>
      <c r="H130" s="90"/>
      <c r="I130" s="92"/>
    </row>
    <row r="131" spans="1:9">
      <c r="A131" s="94"/>
      <c r="B131" s="91"/>
      <c r="C131" s="91"/>
      <c r="D131" s="91"/>
      <c r="E131" s="94"/>
      <c r="F131" s="91"/>
      <c r="G131" s="91"/>
      <c r="H131" s="91"/>
      <c r="I131" s="94"/>
    </row>
    <row r="132" spans="1:9">
      <c r="A132" s="92"/>
      <c r="B132" s="90"/>
      <c r="C132" s="90"/>
      <c r="D132" s="90"/>
      <c r="E132" s="92"/>
      <c r="F132" s="90"/>
      <c r="G132" s="90"/>
      <c r="H132" s="90"/>
      <c r="I132" s="92"/>
    </row>
    <row r="133" spans="1:9">
      <c r="A133" s="94"/>
      <c r="B133" s="91"/>
      <c r="C133" s="91"/>
      <c r="D133" s="91"/>
      <c r="E133" s="94"/>
      <c r="F133" s="91"/>
      <c r="G133" s="91"/>
      <c r="H133" s="91"/>
      <c r="I133" s="94"/>
    </row>
    <row r="134" spans="1:9">
      <c r="A134" s="92"/>
      <c r="B134" s="90"/>
      <c r="C134" s="90"/>
      <c r="D134" s="90"/>
      <c r="E134" s="92"/>
      <c r="F134" s="90"/>
      <c r="G134" s="90"/>
      <c r="H134" s="90"/>
      <c r="I134" s="92"/>
    </row>
    <row r="135" spans="1:9">
      <c r="A135" s="94"/>
      <c r="B135" s="91"/>
      <c r="C135" s="91"/>
      <c r="D135" s="91"/>
      <c r="E135" s="94"/>
      <c r="F135" s="91"/>
      <c r="G135" s="91"/>
      <c r="H135" s="91"/>
      <c r="I135" s="94"/>
    </row>
    <row r="136" spans="1:9">
      <c r="A136" s="92"/>
      <c r="B136" s="90"/>
      <c r="C136" s="90"/>
      <c r="D136" s="90"/>
      <c r="E136" s="92"/>
      <c r="F136" s="90"/>
      <c r="G136" s="90"/>
      <c r="H136" s="90"/>
      <c r="I136" s="92"/>
    </row>
    <row r="137" spans="1:9">
      <c r="A137" s="94"/>
      <c r="B137" s="91"/>
      <c r="C137" s="91"/>
      <c r="D137" s="91"/>
      <c r="E137" s="94"/>
      <c r="F137" s="91"/>
      <c r="G137" s="91"/>
      <c r="H137" s="91"/>
      <c r="I137" s="94"/>
    </row>
    <row r="138" spans="1:9">
      <c r="A138" s="92"/>
      <c r="B138" s="90"/>
      <c r="C138" s="90"/>
      <c r="D138" s="90"/>
      <c r="E138" s="92"/>
      <c r="F138" s="90"/>
      <c r="G138" s="90"/>
      <c r="H138" s="90"/>
      <c r="I138" s="92"/>
    </row>
    <row r="139" spans="1:9">
      <c r="A139" s="94"/>
      <c r="B139" s="91"/>
      <c r="C139" s="91"/>
      <c r="D139" s="91"/>
      <c r="E139" s="94"/>
      <c r="F139" s="91"/>
      <c r="G139" s="91"/>
      <c r="H139" s="91"/>
      <c r="I139" s="94"/>
    </row>
    <row r="140" spans="1:9">
      <c r="A140" s="94"/>
      <c r="B140" s="91"/>
      <c r="C140" s="90"/>
      <c r="D140" s="90"/>
      <c r="E140" s="94"/>
      <c r="F140" s="91"/>
      <c r="G140" s="90"/>
      <c r="H140" s="90"/>
      <c r="I140" s="94"/>
    </row>
    <row r="141" spans="1:9">
      <c r="A141" s="94"/>
      <c r="B141" s="91"/>
      <c r="C141" s="91"/>
      <c r="D141" s="91"/>
      <c r="E141" s="94"/>
      <c r="F141" s="91"/>
      <c r="G141" s="91"/>
      <c r="H141" s="91"/>
      <c r="I141" s="94"/>
    </row>
    <row r="142" spans="1:9">
      <c r="A142" s="94"/>
      <c r="B142" s="91"/>
      <c r="C142" s="90"/>
      <c r="D142" s="90"/>
      <c r="E142" s="94"/>
      <c r="F142" s="91"/>
      <c r="G142" s="90"/>
      <c r="H142" s="90"/>
      <c r="I142" s="94"/>
    </row>
    <row r="143" spans="1:9">
      <c r="A143" s="94"/>
      <c r="B143" s="91"/>
      <c r="C143" s="91"/>
      <c r="D143" s="91"/>
      <c r="E143" s="94"/>
      <c r="F143" s="91"/>
      <c r="G143" s="91"/>
      <c r="H143" s="91"/>
      <c r="I143" s="94"/>
    </row>
    <row r="144" spans="1:9">
      <c r="A144" s="94"/>
      <c r="B144" s="91"/>
      <c r="C144" s="90"/>
      <c r="D144" s="90"/>
      <c r="E144" s="94"/>
      <c r="F144" s="91"/>
      <c r="G144" s="90"/>
      <c r="H144" s="90"/>
      <c r="I144" s="94"/>
    </row>
    <row r="145" spans="1:9">
      <c r="A145" s="94"/>
      <c r="B145" s="91"/>
      <c r="C145" s="91"/>
      <c r="D145" s="91"/>
      <c r="E145" s="94"/>
      <c r="F145" s="91"/>
      <c r="G145" s="91"/>
      <c r="H145" s="91"/>
      <c r="I145" s="94"/>
    </row>
    <row r="146" spans="1:9">
      <c r="A146" s="94"/>
      <c r="B146" s="91"/>
      <c r="C146" s="90"/>
      <c r="D146" s="90"/>
      <c r="E146" s="94"/>
      <c r="F146" s="91"/>
      <c r="G146" s="90"/>
      <c r="H146" s="90"/>
      <c r="I146" s="94"/>
    </row>
    <row r="147" spans="1:9">
      <c r="A147" s="94"/>
      <c r="B147" s="91"/>
      <c r="C147" s="91"/>
      <c r="D147" s="91"/>
      <c r="E147" s="94"/>
      <c r="F147" s="91"/>
      <c r="G147" s="91"/>
      <c r="H147" s="91"/>
      <c r="I147" s="94"/>
    </row>
    <row r="148" spans="1:9">
      <c r="A148" s="92"/>
      <c r="B148" s="90"/>
      <c r="C148" s="90"/>
      <c r="D148" s="90"/>
      <c r="E148" s="92"/>
      <c r="F148" s="90"/>
      <c r="G148" s="90"/>
      <c r="H148" s="90"/>
      <c r="I148" s="92"/>
    </row>
    <row r="149" spans="1:9">
      <c r="A149" s="94"/>
      <c r="B149" s="91"/>
      <c r="C149" s="91"/>
      <c r="D149" s="91"/>
      <c r="E149" s="94"/>
      <c r="F149" s="91"/>
      <c r="G149" s="91"/>
      <c r="H149" s="91"/>
      <c r="I149" s="94"/>
    </row>
    <row r="150" spans="1:9">
      <c r="A150" s="92"/>
      <c r="B150" s="90"/>
      <c r="C150" s="90"/>
      <c r="D150" s="90"/>
      <c r="E150" s="92"/>
      <c r="F150" s="90"/>
      <c r="G150" s="90"/>
      <c r="H150" s="90"/>
      <c r="I150" s="92"/>
    </row>
    <row r="151" spans="1:9">
      <c r="A151" s="94"/>
      <c r="B151" s="91"/>
      <c r="C151" s="91"/>
      <c r="D151" s="91"/>
      <c r="E151" s="94"/>
      <c r="F151" s="91"/>
      <c r="G151" s="91"/>
      <c r="H151" s="91"/>
      <c r="I151" s="94"/>
    </row>
    <row r="152" spans="1:9">
      <c r="A152" s="92"/>
      <c r="B152" s="90"/>
      <c r="C152" s="90"/>
      <c r="D152" s="90"/>
      <c r="E152" s="92"/>
      <c r="F152" s="90"/>
      <c r="G152" s="90"/>
      <c r="H152" s="90"/>
      <c r="I152" s="92"/>
    </row>
    <row r="153" spans="1:9">
      <c r="A153" s="94"/>
      <c r="B153" s="91"/>
      <c r="C153" s="91"/>
      <c r="D153" s="91"/>
      <c r="E153" s="94"/>
      <c r="F153" s="91"/>
      <c r="G153" s="91"/>
      <c r="H153" s="91"/>
      <c r="I153" s="94"/>
    </row>
    <row r="154" spans="1:9">
      <c r="A154" s="92"/>
      <c r="B154" s="90"/>
      <c r="C154" s="90"/>
      <c r="D154" s="90"/>
      <c r="E154" s="92"/>
      <c r="F154" s="90"/>
      <c r="G154" s="90"/>
      <c r="H154" s="90"/>
      <c r="I154" s="92"/>
    </row>
    <row r="155" spans="1:9">
      <c r="A155" s="94"/>
      <c r="B155" s="91"/>
      <c r="C155" s="91"/>
      <c r="D155" s="91"/>
      <c r="E155" s="94"/>
      <c r="F155" s="91"/>
      <c r="G155" s="91"/>
      <c r="H155" s="91"/>
      <c r="I155" s="94"/>
    </row>
    <row r="156" spans="1:9">
      <c r="A156" s="92"/>
      <c r="B156" s="90"/>
      <c r="C156" s="90"/>
      <c r="D156" s="90"/>
      <c r="E156" s="92"/>
      <c r="F156" s="90"/>
      <c r="G156" s="90"/>
      <c r="H156" s="90"/>
      <c r="I156" s="92"/>
    </row>
    <row r="157" spans="1:9">
      <c r="A157" s="94"/>
      <c r="B157" s="91"/>
      <c r="C157" s="91"/>
      <c r="D157" s="91"/>
      <c r="E157" s="94"/>
      <c r="F157" s="91"/>
      <c r="G157" s="91"/>
      <c r="H157" s="91"/>
      <c r="I157" s="94"/>
    </row>
    <row r="158" spans="1:9">
      <c r="A158" s="92"/>
      <c r="B158" s="90"/>
      <c r="C158" s="90"/>
      <c r="D158" s="90"/>
      <c r="E158" s="92"/>
      <c r="F158" s="90"/>
      <c r="G158" s="90"/>
      <c r="H158" s="90"/>
      <c r="I158" s="92"/>
    </row>
    <row r="159" spans="1:9">
      <c r="A159" s="94"/>
      <c r="B159" s="91"/>
      <c r="C159" s="91"/>
      <c r="D159" s="91"/>
      <c r="E159" s="94"/>
      <c r="F159" s="91"/>
      <c r="G159" s="91"/>
      <c r="H159" s="91"/>
      <c r="I159" s="94"/>
    </row>
    <row r="160" spans="1:9">
      <c r="A160" s="92"/>
      <c r="B160" s="90"/>
      <c r="C160" s="90"/>
      <c r="D160" s="90"/>
      <c r="E160" s="92"/>
      <c r="F160" s="90"/>
      <c r="G160" s="90"/>
      <c r="H160" s="90"/>
      <c r="I160" s="92"/>
    </row>
    <row r="161" spans="1:9">
      <c r="A161" s="94"/>
      <c r="B161" s="91"/>
      <c r="C161" s="91"/>
      <c r="D161" s="91"/>
      <c r="E161" s="94"/>
      <c r="F161" s="91"/>
      <c r="G161" s="91"/>
      <c r="H161" s="91"/>
      <c r="I161" s="94"/>
    </row>
    <row r="162" spans="1:9">
      <c r="A162" s="92"/>
      <c r="B162" s="90"/>
      <c r="C162" s="90"/>
      <c r="D162" s="90"/>
      <c r="E162" s="92"/>
      <c r="F162" s="90"/>
      <c r="G162" s="90"/>
      <c r="H162" s="90"/>
      <c r="I162" s="92"/>
    </row>
    <row r="163" spans="1:9">
      <c r="A163" s="94"/>
      <c r="B163" s="91"/>
      <c r="C163" s="91"/>
      <c r="D163" s="91"/>
      <c r="E163" s="94"/>
      <c r="F163" s="91"/>
      <c r="G163" s="91"/>
      <c r="H163" s="91"/>
      <c r="I163" s="94"/>
    </row>
    <row r="164" spans="1:9">
      <c r="A164" s="92"/>
      <c r="B164" s="90"/>
      <c r="C164" s="90"/>
      <c r="D164" s="90"/>
      <c r="E164" s="92"/>
      <c r="F164" s="90"/>
      <c r="G164" s="90"/>
      <c r="H164" s="90"/>
      <c r="I164" s="92"/>
    </row>
    <row r="165" spans="1:9">
      <c r="A165" s="94"/>
      <c r="B165" s="91"/>
      <c r="C165" s="91"/>
      <c r="D165" s="91"/>
      <c r="E165" s="94"/>
      <c r="F165" s="91"/>
      <c r="G165" s="91"/>
      <c r="H165" s="91"/>
      <c r="I165" s="94"/>
    </row>
    <row r="166" spans="1:9">
      <c r="A166" s="92"/>
      <c r="B166" s="90"/>
      <c r="C166" s="90"/>
      <c r="D166" s="90"/>
      <c r="E166" s="92"/>
      <c r="F166" s="90"/>
      <c r="G166" s="90"/>
      <c r="H166" s="90"/>
      <c r="I166" s="92"/>
    </row>
    <row r="167" spans="1:9">
      <c r="A167" s="94"/>
      <c r="B167" s="91"/>
      <c r="C167" s="91"/>
      <c r="D167" s="91"/>
      <c r="E167" s="94"/>
      <c r="F167" s="91"/>
      <c r="G167" s="91"/>
      <c r="H167" s="91"/>
      <c r="I167" s="94"/>
    </row>
    <row r="168" spans="1:9">
      <c r="A168" s="92"/>
      <c r="B168" s="90"/>
      <c r="C168" s="90"/>
      <c r="D168" s="90"/>
      <c r="E168" s="92"/>
      <c r="F168" s="90"/>
      <c r="G168" s="90"/>
      <c r="H168" s="90"/>
      <c r="I168" s="92"/>
    </row>
    <row r="169" spans="1:9">
      <c r="A169" s="94"/>
      <c r="B169" s="91"/>
      <c r="C169" s="91"/>
      <c r="D169" s="91"/>
      <c r="E169" s="94"/>
      <c r="F169" s="91"/>
      <c r="G169" s="91"/>
      <c r="H169" s="91"/>
      <c r="I169" s="94"/>
    </row>
    <row r="170" spans="1:9">
      <c r="A170" s="92"/>
      <c r="B170" s="90"/>
      <c r="C170" s="90"/>
      <c r="D170" s="90"/>
      <c r="E170" s="92"/>
      <c r="F170" s="90"/>
      <c r="G170" s="90"/>
      <c r="H170" s="90"/>
      <c r="I170" s="92"/>
    </row>
    <row r="171" spans="1:9">
      <c r="A171" s="94"/>
      <c r="B171" s="91"/>
      <c r="C171" s="91"/>
      <c r="D171" s="91"/>
      <c r="E171" s="94"/>
      <c r="F171" s="91"/>
      <c r="G171" s="91"/>
      <c r="H171" s="91"/>
      <c r="I171" s="94"/>
    </row>
    <row r="172" spans="1:9">
      <c r="A172" s="92"/>
      <c r="B172" s="90"/>
      <c r="C172" s="90"/>
      <c r="D172" s="90"/>
      <c r="E172" s="92"/>
      <c r="F172" s="90"/>
      <c r="G172" s="90"/>
      <c r="H172" s="90"/>
      <c r="I172" s="92"/>
    </row>
    <row r="173" spans="1:9">
      <c r="A173" s="94"/>
      <c r="B173" s="91"/>
      <c r="C173" s="91"/>
      <c r="D173" s="91"/>
      <c r="E173" s="94"/>
      <c r="F173" s="91"/>
      <c r="G173" s="91"/>
      <c r="H173" s="91"/>
      <c r="I173" s="94"/>
    </row>
    <row r="174" spans="1:9">
      <c r="A174" s="92"/>
      <c r="B174" s="90"/>
      <c r="C174" s="90"/>
      <c r="D174" s="90"/>
      <c r="E174" s="92"/>
      <c r="F174" s="90"/>
      <c r="G174" s="90"/>
      <c r="H174" s="90"/>
      <c r="I174" s="92"/>
    </row>
    <row r="175" spans="1:9">
      <c r="A175" s="94"/>
      <c r="B175" s="91"/>
      <c r="C175" s="91"/>
      <c r="D175" s="91"/>
      <c r="E175" s="94"/>
      <c r="F175" s="91"/>
      <c r="G175" s="91"/>
      <c r="H175" s="91"/>
      <c r="I175" s="94"/>
    </row>
    <row r="176" spans="1:9">
      <c r="A176" s="92"/>
      <c r="B176" s="90"/>
      <c r="C176" s="90"/>
      <c r="D176" s="90"/>
      <c r="E176" s="92"/>
      <c r="F176" s="90"/>
      <c r="G176" s="90"/>
      <c r="H176" s="90"/>
      <c r="I176" s="92"/>
    </row>
    <row r="177" spans="1:9">
      <c r="A177" s="94"/>
      <c r="B177" s="91"/>
      <c r="C177" s="91"/>
      <c r="D177" s="91"/>
      <c r="E177" s="94"/>
      <c r="F177" s="91"/>
      <c r="G177" s="91"/>
      <c r="H177" s="91"/>
      <c r="I177" s="94"/>
    </row>
  </sheetData>
  <autoFilter ref="A1:I70" xr:uid="{00000000-0001-0000-0000-000000000000}">
    <sortState xmlns:xlrd2="http://schemas.microsoft.com/office/spreadsheetml/2017/richdata2" ref="A2:I70">
      <sortCondition ref="A1:A54"/>
    </sortState>
  </autoFilter>
  <dataValidations disablePrompts="1" count="1">
    <dataValidation type="list" allowBlank="1" showInputMessage="1" showErrorMessage="1" sqref="G2:G18 G20" xr:uid="{C4A3CD4A-4E67-4CE9-8C1B-3B359F2307D9}">
      <formula1>"Estratégico,Tático,Operacional"</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67CF7-B10F-414D-AC57-902CFE3CD1E5}">
  <sheetPr>
    <tabColor theme="9"/>
  </sheetPr>
  <dimension ref="A1:M427"/>
  <sheetViews>
    <sheetView topLeftCell="H1" workbookViewId="0">
      <selection activeCell="L2" sqref="L2"/>
    </sheetView>
  </sheetViews>
  <sheetFormatPr defaultRowHeight="14.4"/>
  <cols>
    <col min="1" max="1" width="15.88671875" style="74" customWidth="1"/>
    <col min="2" max="2" width="35.44140625" style="77" bestFit="1" customWidth="1"/>
    <col min="3" max="3" width="35.44140625" style="77" customWidth="1"/>
    <col min="4" max="4" width="11" style="77" bestFit="1" customWidth="1"/>
    <col min="5" max="5" width="8.44140625" style="77" hidden="1" customWidth="1"/>
    <col min="6" max="6" width="17" style="77" hidden="1" customWidth="1"/>
    <col min="7" max="7" width="97.33203125" style="5" customWidth="1"/>
    <col min="8" max="8" width="47.5546875" style="77" bestFit="1" customWidth="1"/>
    <col min="9" max="9" width="23.109375" style="77" bestFit="1" customWidth="1"/>
    <col min="10" max="10" width="38.33203125" style="77" bestFit="1" customWidth="1"/>
    <col min="11" max="11" width="36.5546875" style="77" bestFit="1" customWidth="1"/>
    <col min="12" max="12" width="13.6640625" style="77" bestFit="1" customWidth="1"/>
    <col min="13" max="13" width="12.44140625" style="77" bestFit="1" customWidth="1"/>
  </cols>
  <sheetData>
    <row r="1" spans="1:13" s="74" customFormat="1">
      <c r="A1" s="71" t="s">
        <v>73</v>
      </c>
      <c r="B1" s="71" t="s">
        <v>116</v>
      </c>
      <c r="C1" s="71" t="s">
        <v>79</v>
      </c>
      <c r="D1" s="71" t="s">
        <v>77</v>
      </c>
      <c r="E1" s="71" t="s">
        <v>76</v>
      </c>
      <c r="F1" s="71" t="s">
        <v>117</v>
      </c>
      <c r="G1" s="71" t="s">
        <v>118</v>
      </c>
      <c r="H1" s="83" t="s">
        <v>119</v>
      </c>
      <c r="I1" s="71" t="s">
        <v>998</v>
      </c>
      <c r="J1" s="71" t="s">
        <v>58</v>
      </c>
      <c r="K1" s="71" t="s">
        <v>120</v>
      </c>
      <c r="L1" s="71" t="s">
        <v>2</v>
      </c>
      <c r="M1" s="71" t="s">
        <v>3</v>
      </c>
    </row>
    <row r="2" spans="1:13" ht="28.8">
      <c r="A2" s="74">
        <v>16</v>
      </c>
      <c r="B2" s="5" t="s">
        <v>113</v>
      </c>
      <c r="C2" s="5"/>
      <c r="D2" s="77" t="s">
        <v>121</v>
      </c>
      <c r="G2" s="5" t="s">
        <v>122</v>
      </c>
      <c r="H2" s="77" t="s">
        <v>123</v>
      </c>
      <c r="I2" s="77" t="s">
        <v>69</v>
      </c>
      <c r="J2" s="77" t="s">
        <v>26</v>
      </c>
      <c r="K2" s="77" t="s">
        <v>67</v>
      </c>
      <c r="L2" s="77" t="s">
        <v>12</v>
      </c>
      <c r="M2" s="77" t="s">
        <v>8</v>
      </c>
    </row>
    <row r="3" spans="1:13" ht="28.8">
      <c r="A3" s="74">
        <v>16</v>
      </c>
      <c r="B3" s="77" t="s">
        <v>113</v>
      </c>
      <c r="D3" s="77" t="s">
        <v>121</v>
      </c>
      <c r="G3" s="5" t="s">
        <v>122</v>
      </c>
      <c r="H3" s="77" t="s">
        <v>123</v>
      </c>
      <c r="I3" s="77" t="s">
        <v>69</v>
      </c>
      <c r="J3" s="77" t="s">
        <v>26</v>
      </c>
      <c r="K3" s="77" t="s">
        <v>61</v>
      </c>
      <c r="L3" s="77" t="s">
        <v>12</v>
      </c>
      <c r="M3" s="77" t="s">
        <v>8</v>
      </c>
    </row>
    <row r="4" spans="1:13" ht="28.8">
      <c r="A4" s="74">
        <v>16</v>
      </c>
      <c r="B4" s="77" t="s">
        <v>113</v>
      </c>
      <c r="D4" s="77" t="s">
        <v>121</v>
      </c>
      <c r="G4" s="5" t="s">
        <v>122</v>
      </c>
      <c r="H4" s="77" t="s">
        <v>123</v>
      </c>
      <c r="I4" s="77" t="s">
        <v>69</v>
      </c>
      <c r="J4" s="77" t="s">
        <v>26</v>
      </c>
      <c r="K4" s="77" t="s">
        <v>62</v>
      </c>
      <c r="L4" s="77" t="s">
        <v>12</v>
      </c>
      <c r="M4" s="77" t="s">
        <v>8</v>
      </c>
    </row>
    <row r="5" spans="1:13">
      <c r="A5" s="74">
        <v>16</v>
      </c>
      <c r="B5" s="77" t="s">
        <v>113</v>
      </c>
      <c r="D5" s="77" t="s">
        <v>121</v>
      </c>
      <c r="G5" s="5" t="s">
        <v>124</v>
      </c>
      <c r="H5" s="77" t="s">
        <v>125</v>
      </c>
      <c r="I5" s="77" t="s">
        <v>126</v>
      </c>
      <c r="J5" s="77" t="s">
        <v>15</v>
      </c>
      <c r="K5" s="77" t="s">
        <v>62</v>
      </c>
      <c r="L5" s="77" t="s">
        <v>17</v>
      </c>
      <c r="M5" s="77" t="s">
        <v>8</v>
      </c>
    </row>
    <row r="6" spans="1:13">
      <c r="A6" s="74">
        <v>16</v>
      </c>
      <c r="B6" s="77" t="s">
        <v>113</v>
      </c>
      <c r="D6" s="77" t="s">
        <v>121</v>
      </c>
      <c r="G6" s="5" t="s">
        <v>124</v>
      </c>
      <c r="H6" s="77" t="s">
        <v>125</v>
      </c>
      <c r="I6" s="77" t="s">
        <v>126</v>
      </c>
      <c r="J6" s="77" t="s">
        <v>15</v>
      </c>
      <c r="K6" s="77" t="s">
        <v>63</v>
      </c>
      <c r="L6" s="77" t="s">
        <v>17</v>
      </c>
      <c r="M6" s="77" t="s">
        <v>8</v>
      </c>
    </row>
    <row r="7" spans="1:13">
      <c r="A7" s="74">
        <v>16</v>
      </c>
      <c r="B7" s="77" t="s">
        <v>113</v>
      </c>
      <c r="D7" s="77" t="s">
        <v>121</v>
      </c>
      <c r="G7" s="5" t="s">
        <v>124</v>
      </c>
      <c r="H7" s="77" t="s">
        <v>125</v>
      </c>
      <c r="I7" s="77" t="s">
        <v>126</v>
      </c>
      <c r="J7" s="77" t="s">
        <v>15</v>
      </c>
      <c r="K7" s="77" t="s">
        <v>65</v>
      </c>
      <c r="L7" s="77" t="s">
        <v>17</v>
      </c>
      <c r="M7" s="77" t="s">
        <v>8</v>
      </c>
    </row>
    <row r="8" spans="1:13" ht="28.8">
      <c r="A8" s="74">
        <v>16</v>
      </c>
      <c r="B8" s="77" t="s">
        <v>113</v>
      </c>
      <c r="D8" s="77" t="s">
        <v>121</v>
      </c>
      <c r="G8" s="5" t="s">
        <v>127</v>
      </c>
      <c r="H8" s="77" t="s">
        <v>55</v>
      </c>
      <c r="I8" s="77" t="s">
        <v>56</v>
      </c>
      <c r="J8" s="77" t="s">
        <v>30</v>
      </c>
      <c r="K8" s="77" t="s">
        <v>56</v>
      </c>
      <c r="L8" s="77" t="s">
        <v>17</v>
      </c>
      <c r="M8" s="77" t="s">
        <v>8</v>
      </c>
    </row>
    <row r="9" spans="1:13" ht="28.8">
      <c r="A9" s="74">
        <v>16</v>
      </c>
      <c r="B9" s="77" t="s">
        <v>113</v>
      </c>
      <c r="D9" s="77" t="s">
        <v>121</v>
      </c>
      <c r="G9" s="5" t="s">
        <v>127</v>
      </c>
      <c r="H9" s="77" t="s">
        <v>55</v>
      </c>
      <c r="I9" s="77" t="s">
        <v>56</v>
      </c>
      <c r="J9" s="77" t="s">
        <v>30</v>
      </c>
      <c r="K9" s="77" t="s">
        <v>64</v>
      </c>
      <c r="L9" s="77" t="s">
        <v>17</v>
      </c>
      <c r="M9" s="77" t="s">
        <v>8</v>
      </c>
    </row>
    <row r="10" spans="1:13" ht="28.8">
      <c r="A10" s="74">
        <v>16</v>
      </c>
      <c r="B10" s="77" t="s">
        <v>113</v>
      </c>
      <c r="D10" s="77" t="s">
        <v>121</v>
      </c>
      <c r="G10" s="5" t="s">
        <v>127</v>
      </c>
      <c r="H10" s="77" t="s">
        <v>55</v>
      </c>
      <c r="I10" s="77" t="s">
        <v>56</v>
      </c>
      <c r="J10" s="77" t="s">
        <v>30</v>
      </c>
      <c r="K10" s="77" t="s">
        <v>63</v>
      </c>
      <c r="L10" s="77" t="s">
        <v>17</v>
      </c>
      <c r="M10" s="77" t="s">
        <v>8</v>
      </c>
    </row>
    <row r="11" spans="1:13">
      <c r="A11" s="74">
        <v>16</v>
      </c>
      <c r="B11" s="77" t="s">
        <v>113</v>
      </c>
      <c r="D11" s="77" t="s">
        <v>121</v>
      </c>
      <c r="G11" s="5" t="s">
        <v>128</v>
      </c>
      <c r="H11" s="77" t="s">
        <v>129</v>
      </c>
      <c r="I11" s="77" t="s">
        <v>70</v>
      </c>
      <c r="J11" s="77" t="s">
        <v>19</v>
      </c>
      <c r="K11" s="77" t="s">
        <v>67</v>
      </c>
      <c r="L11" s="77" t="s">
        <v>12</v>
      </c>
      <c r="M11" s="77" t="s">
        <v>8</v>
      </c>
    </row>
    <row r="12" spans="1:13">
      <c r="A12" s="74">
        <v>16</v>
      </c>
      <c r="B12" s="77" t="s">
        <v>113</v>
      </c>
      <c r="D12" s="77" t="s">
        <v>121</v>
      </c>
      <c r="G12" s="5" t="s">
        <v>128</v>
      </c>
      <c r="H12" s="77" t="s">
        <v>129</v>
      </c>
      <c r="I12" s="77" t="s">
        <v>70</v>
      </c>
      <c r="J12" s="77" t="s">
        <v>19</v>
      </c>
      <c r="K12" s="77" t="s">
        <v>62</v>
      </c>
      <c r="L12" s="77" t="s">
        <v>12</v>
      </c>
      <c r="M12" s="77" t="s">
        <v>8</v>
      </c>
    </row>
    <row r="13" spans="1:13">
      <c r="A13" s="74">
        <v>16</v>
      </c>
      <c r="B13" s="77" t="s">
        <v>113</v>
      </c>
      <c r="D13" s="77" t="s">
        <v>121</v>
      </c>
      <c r="G13" s="5" t="s">
        <v>128</v>
      </c>
      <c r="H13" s="77" t="s">
        <v>129</v>
      </c>
      <c r="I13" s="77" t="s">
        <v>70</v>
      </c>
      <c r="J13" s="77" t="s">
        <v>19</v>
      </c>
      <c r="K13" s="77" t="s">
        <v>61</v>
      </c>
      <c r="L13" s="77" t="s">
        <v>12</v>
      </c>
      <c r="M13" s="77" t="s">
        <v>8</v>
      </c>
    </row>
    <row r="14" spans="1:13" ht="28.8">
      <c r="A14" s="74">
        <v>13</v>
      </c>
      <c r="B14" s="77" t="s">
        <v>130</v>
      </c>
      <c r="D14" s="77" t="s">
        <v>121</v>
      </c>
      <c r="G14" s="5" t="s">
        <v>131</v>
      </c>
      <c r="H14" s="77" t="s">
        <v>132</v>
      </c>
      <c r="I14" s="77" t="s">
        <v>71</v>
      </c>
      <c r="J14" s="77" t="s">
        <v>30</v>
      </c>
      <c r="K14" s="77" t="s">
        <v>133</v>
      </c>
      <c r="L14" s="77" t="s">
        <v>17</v>
      </c>
      <c r="M14" s="77" t="s">
        <v>8</v>
      </c>
    </row>
    <row r="15" spans="1:13" ht="28.8">
      <c r="A15" s="74">
        <v>13</v>
      </c>
      <c r="B15" s="77" t="s">
        <v>130</v>
      </c>
      <c r="D15" s="77" t="s">
        <v>121</v>
      </c>
      <c r="G15" s="5" t="s">
        <v>131</v>
      </c>
      <c r="H15" s="77" t="s">
        <v>132</v>
      </c>
      <c r="I15" s="77" t="s">
        <v>71</v>
      </c>
      <c r="J15" s="77" t="s">
        <v>30</v>
      </c>
      <c r="K15" s="77" t="s">
        <v>56</v>
      </c>
      <c r="L15" s="77" t="s">
        <v>17</v>
      </c>
      <c r="M15" s="77" t="s">
        <v>8</v>
      </c>
    </row>
    <row r="16" spans="1:13" ht="28.8">
      <c r="A16" s="74">
        <v>13</v>
      </c>
      <c r="B16" s="77" t="s">
        <v>130</v>
      </c>
      <c r="D16" s="77" t="s">
        <v>121</v>
      </c>
      <c r="G16" s="5" t="s">
        <v>131</v>
      </c>
      <c r="H16" s="77" t="s">
        <v>132</v>
      </c>
      <c r="I16" s="77" t="s">
        <v>71</v>
      </c>
      <c r="J16" s="77" t="s">
        <v>30</v>
      </c>
      <c r="K16" s="77" t="s">
        <v>64</v>
      </c>
      <c r="L16" s="77" t="s">
        <v>17</v>
      </c>
      <c r="M16" s="77" t="s">
        <v>8</v>
      </c>
    </row>
    <row r="17" spans="1:13">
      <c r="A17" s="74">
        <v>13</v>
      </c>
      <c r="B17" s="77" t="s">
        <v>130</v>
      </c>
      <c r="D17" s="77" t="s">
        <v>121</v>
      </c>
      <c r="G17" s="5" t="s">
        <v>134</v>
      </c>
      <c r="H17" s="77" t="s">
        <v>135</v>
      </c>
      <c r="I17" s="77" t="s">
        <v>71</v>
      </c>
      <c r="J17" s="77" t="s">
        <v>28</v>
      </c>
      <c r="K17" s="77" t="s">
        <v>133</v>
      </c>
      <c r="L17" s="77" t="s">
        <v>17</v>
      </c>
      <c r="M17" s="77" t="s">
        <v>13</v>
      </c>
    </row>
    <row r="18" spans="1:13">
      <c r="A18" s="74">
        <v>13</v>
      </c>
      <c r="B18" s="77" t="s">
        <v>130</v>
      </c>
      <c r="D18" s="77" t="s">
        <v>121</v>
      </c>
      <c r="G18" s="5" t="s">
        <v>134</v>
      </c>
      <c r="H18" s="77" t="s">
        <v>135</v>
      </c>
      <c r="I18" s="77" t="s">
        <v>71</v>
      </c>
      <c r="J18" s="77" t="s">
        <v>28</v>
      </c>
      <c r="K18" s="77" t="s">
        <v>64</v>
      </c>
      <c r="L18" s="77" t="s">
        <v>17</v>
      </c>
      <c r="M18" s="77" t="s">
        <v>13</v>
      </c>
    </row>
    <row r="19" spans="1:13">
      <c r="A19" s="74">
        <v>13</v>
      </c>
      <c r="B19" s="77" t="s">
        <v>130</v>
      </c>
      <c r="D19" s="77" t="s">
        <v>121</v>
      </c>
      <c r="G19" s="5" t="s">
        <v>134</v>
      </c>
      <c r="H19" s="77" t="s">
        <v>135</v>
      </c>
      <c r="I19" s="77" t="s">
        <v>71</v>
      </c>
      <c r="J19" s="77" t="s">
        <v>28</v>
      </c>
      <c r="K19" s="77" t="s">
        <v>63</v>
      </c>
      <c r="L19" s="77" t="s">
        <v>17</v>
      </c>
      <c r="M19" s="77" t="s">
        <v>13</v>
      </c>
    </row>
    <row r="20" spans="1:13" ht="28.8">
      <c r="A20" s="74">
        <v>13</v>
      </c>
      <c r="B20" s="77" t="s">
        <v>130</v>
      </c>
      <c r="D20" s="77" t="s">
        <v>121</v>
      </c>
      <c r="G20" s="5" t="s">
        <v>136</v>
      </c>
      <c r="H20" s="77" t="s">
        <v>55</v>
      </c>
      <c r="I20" s="77" t="s">
        <v>56</v>
      </c>
      <c r="J20" s="77" t="s">
        <v>30</v>
      </c>
      <c r="K20" s="77" t="s">
        <v>56</v>
      </c>
      <c r="L20" s="77" t="s">
        <v>17</v>
      </c>
      <c r="M20" s="77" t="s">
        <v>8</v>
      </c>
    </row>
    <row r="21" spans="1:13" ht="28.8">
      <c r="A21" s="74">
        <v>13</v>
      </c>
      <c r="B21" s="77" t="s">
        <v>130</v>
      </c>
      <c r="D21" s="77" t="s">
        <v>121</v>
      </c>
      <c r="G21" s="5" t="s">
        <v>136</v>
      </c>
      <c r="H21" s="77" t="s">
        <v>55</v>
      </c>
      <c r="I21" s="77" t="s">
        <v>56</v>
      </c>
      <c r="J21" s="77" t="s">
        <v>30</v>
      </c>
      <c r="K21" s="77" t="s">
        <v>64</v>
      </c>
      <c r="L21" s="77" t="s">
        <v>17</v>
      </c>
      <c r="M21" s="77" t="s">
        <v>8</v>
      </c>
    </row>
    <row r="22" spans="1:13" ht="28.8">
      <c r="A22" s="74">
        <v>13</v>
      </c>
      <c r="B22" s="77" t="s">
        <v>130</v>
      </c>
      <c r="D22" s="77" t="s">
        <v>121</v>
      </c>
      <c r="G22" s="5" t="s">
        <v>136</v>
      </c>
      <c r="H22" s="77" t="s">
        <v>55</v>
      </c>
      <c r="I22" s="77" t="s">
        <v>56</v>
      </c>
      <c r="J22" s="77" t="s">
        <v>30</v>
      </c>
      <c r="K22" s="77" t="s">
        <v>63</v>
      </c>
      <c r="L22" s="77" t="s">
        <v>17</v>
      </c>
      <c r="M22" s="77" t="s">
        <v>8</v>
      </c>
    </row>
    <row r="23" spans="1:13" ht="28.8">
      <c r="A23" s="74">
        <v>13</v>
      </c>
      <c r="B23" s="77" t="s">
        <v>130</v>
      </c>
      <c r="D23" s="77" t="s">
        <v>121</v>
      </c>
      <c r="G23" s="5" t="s">
        <v>137</v>
      </c>
      <c r="H23" s="77" t="s">
        <v>138</v>
      </c>
      <c r="I23" s="77" t="s">
        <v>69</v>
      </c>
      <c r="J23" s="77" t="s">
        <v>10</v>
      </c>
      <c r="K23" s="77" t="s">
        <v>61</v>
      </c>
      <c r="L23" s="77" t="s">
        <v>12</v>
      </c>
      <c r="M23" s="77" t="s">
        <v>8</v>
      </c>
    </row>
    <row r="24" spans="1:13" ht="28.8">
      <c r="A24" s="74">
        <v>13</v>
      </c>
      <c r="B24" s="77" t="s">
        <v>130</v>
      </c>
      <c r="D24" s="77" t="s">
        <v>121</v>
      </c>
      <c r="G24" s="5" t="s">
        <v>137</v>
      </c>
      <c r="H24" s="77" t="s">
        <v>138</v>
      </c>
      <c r="I24" s="77" t="s">
        <v>69</v>
      </c>
      <c r="J24" s="77" t="s">
        <v>10</v>
      </c>
      <c r="K24" s="77" t="s">
        <v>63</v>
      </c>
      <c r="L24" s="77" t="s">
        <v>12</v>
      </c>
      <c r="M24" s="77" t="s">
        <v>8</v>
      </c>
    </row>
    <row r="25" spans="1:13" ht="28.8">
      <c r="A25" s="74">
        <v>13</v>
      </c>
      <c r="B25" s="77" t="s">
        <v>130</v>
      </c>
      <c r="D25" s="77" t="s">
        <v>121</v>
      </c>
      <c r="G25" s="5" t="s">
        <v>137</v>
      </c>
      <c r="H25" s="77" t="s">
        <v>138</v>
      </c>
      <c r="I25" s="77" t="s">
        <v>69</v>
      </c>
      <c r="J25" s="77" t="s">
        <v>10</v>
      </c>
      <c r="K25" s="77" t="s">
        <v>64</v>
      </c>
      <c r="L25" s="77" t="s">
        <v>12</v>
      </c>
      <c r="M25" s="77" t="s">
        <v>8</v>
      </c>
    </row>
    <row r="26" spans="1:13" ht="28.8">
      <c r="A26" s="74">
        <v>13</v>
      </c>
      <c r="B26" s="77" t="s">
        <v>130</v>
      </c>
      <c r="D26" s="77" t="s">
        <v>121</v>
      </c>
      <c r="G26" s="5" t="s">
        <v>139</v>
      </c>
      <c r="H26" s="77" t="s">
        <v>140</v>
      </c>
      <c r="I26" s="77" t="s">
        <v>141</v>
      </c>
      <c r="J26" s="77" t="s">
        <v>5</v>
      </c>
      <c r="K26" s="77" t="s">
        <v>63</v>
      </c>
      <c r="L26" s="77" t="s">
        <v>17</v>
      </c>
      <c r="M26" s="77" t="s">
        <v>8</v>
      </c>
    </row>
    <row r="27" spans="1:13" ht="28.8">
      <c r="A27" s="74">
        <v>13</v>
      </c>
      <c r="B27" s="77" t="s">
        <v>130</v>
      </c>
      <c r="D27" s="77" t="s">
        <v>121</v>
      </c>
      <c r="G27" s="5" t="s">
        <v>139</v>
      </c>
      <c r="H27" s="77" t="s">
        <v>140</v>
      </c>
      <c r="I27" s="77" t="s">
        <v>141</v>
      </c>
      <c r="J27" s="77" t="s">
        <v>5</v>
      </c>
      <c r="K27" s="77" t="s">
        <v>56</v>
      </c>
      <c r="L27" s="77" t="s">
        <v>17</v>
      </c>
      <c r="M27" s="77" t="s">
        <v>8</v>
      </c>
    </row>
    <row r="28" spans="1:13" ht="28.8">
      <c r="A28" s="74">
        <v>13</v>
      </c>
      <c r="B28" s="77" t="s">
        <v>130</v>
      </c>
      <c r="D28" s="77" t="s">
        <v>121</v>
      </c>
      <c r="G28" s="5" t="s">
        <v>139</v>
      </c>
      <c r="H28" s="77" t="s">
        <v>140</v>
      </c>
      <c r="I28" s="77" t="s">
        <v>141</v>
      </c>
      <c r="J28" s="77" t="s">
        <v>5</v>
      </c>
      <c r="K28" s="77" t="s">
        <v>64</v>
      </c>
      <c r="L28" s="77" t="s">
        <v>17</v>
      </c>
      <c r="M28" s="77" t="s">
        <v>8</v>
      </c>
    </row>
    <row r="29" spans="1:13" ht="28.8">
      <c r="A29" s="74">
        <v>13</v>
      </c>
      <c r="B29" s="77" t="s">
        <v>130</v>
      </c>
      <c r="D29" s="77" t="s">
        <v>121</v>
      </c>
      <c r="G29" s="5" t="s">
        <v>142</v>
      </c>
      <c r="H29" s="77" t="s">
        <v>125</v>
      </c>
      <c r="I29" s="77" t="s">
        <v>126</v>
      </c>
      <c r="J29" s="77" t="s">
        <v>15</v>
      </c>
      <c r="K29" s="77" t="s">
        <v>62</v>
      </c>
      <c r="L29" s="77" t="s">
        <v>17</v>
      </c>
      <c r="M29" s="77" t="s">
        <v>8</v>
      </c>
    </row>
    <row r="30" spans="1:13" ht="28.8">
      <c r="A30" s="74">
        <v>13</v>
      </c>
      <c r="B30" s="77" t="s">
        <v>130</v>
      </c>
      <c r="D30" s="77" t="s">
        <v>121</v>
      </c>
      <c r="G30" s="5" t="s">
        <v>142</v>
      </c>
      <c r="H30" s="77" t="s">
        <v>125</v>
      </c>
      <c r="I30" s="77" t="s">
        <v>126</v>
      </c>
      <c r="J30" s="77" t="s">
        <v>15</v>
      </c>
      <c r="K30" s="77" t="s">
        <v>63</v>
      </c>
      <c r="L30" s="77" t="s">
        <v>17</v>
      </c>
      <c r="M30" s="77" t="s">
        <v>8</v>
      </c>
    </row>
    <row r="31" spans="1:13" ht="28.8">
      <c r="A31" s="74">
        <v>13</v>
      </c>
      <c r="B31" s="77" t="s">
        <v>130</v>
      </c>
      <c r="D31" s="77" t="s">
        <v>121</v>
      </c>
      <c r="G31" s="5" t="s">
        <v>142</v>
      </c>
      <c r="H31" s="77" t="s">
        <v>125</v>
      </c>
      <c r="I31" s="77" t="s">
        <v>126</v>
      </c>
      <c r="J31" s="77" t="s">
        <v>15</v>
      </c>
      <c r="K31" s="77" t="s">
        <v>65</v>
      </c>
      <c r="L31" s="77" t="s">
        <v>17</v>
      </c>
      <c r="M31" s="77" t="s">
        <v>8</v>
      </c>
    </row>
    <row r="32" spans="1:13" ht="28.8">
      <c r="A32" s="74">
        <v>13</v>
      </c>
      <c r="B32" s="77" t="s">
        <v>130</v>
      </c>
      <c r="D32" s="77" t="s">
        <v>121</v>
      </c>
      <c r="G32" s="5" t="s">
        <v>143</v>
      </c>
      <c r="H32" s="77" t="s">
        <v>135</v>
      </c>
      <c r="I32" s="77" t="s">
        <v>71</v>
      </c>
      <c r="J32" s="77" t="s">
        <v>28</v>
      </c>
      <c r="K32" s="77" t="s">
        <v>133</v>
      </c>
      <c r="L32" s="77" t="s">
        <v>17</v>
      </c>
      <c r="M32" s="77" t="s">
        <v>13</v>
      </c>
    </row>
    <row r="33" spans="1:13" ht="28.8">
      <c r="A33" s="74">
        <v>13</v>
      </c>
      <c r="B33" s="77" t="s">
        <v>130</v>
      </c>
      <c r="D33" s="77" t="s">
        <v>121</v>
      </c>
      <c r="G33" s="5" t="s">
        <v>143</v>
      </c>
      <c r="H33" s="77" t="s">
        <v>135</v>
      </c>
      <c r="I33" s="77" t="s">
        <v>71</v>
      </c>
      <c r="J33" s="77" t="s">
        <v>28</v>
      </c>
      <c r="K33" s="77" t="s">
        <v>64</v>
      </c>
      <c r="L33" s="77" t="s">
        <v>17</v>
      </c>
      <c r="M33" s="77" t="s">
        <v>13</v>
      </c>
    </row>
    <row r="34" spans="1:13" ht="28.8">
      <c r="A34" s="74">
        <v>13</v>
      </c>
      <c r="B34" s="77" t="s">
        <v>130</v>
      </c>
      <c r="D34" s="77" t="s">
        <v>121</v>
      </c>
      <c r="G34" s="5" t="s">
        <v>143</v>
      </c>
      <c r="H34" s="77" t="s">
        <v>135</v>
      </c>
      <c r="I34" s="77" t="s">
        <v>71</v>
      </c>
      <c r="J34" s="77" t="s">
        <v>28</v>
      </c>
      <c r="K34" s="77" t="s">
        <v>63</v>
      </c>
      <c r="L34" s="77" t="s">
        <v>17</v>
      </c>
      <c r="M34" s="77" t="s">
        <v>13</v>
      </c>
    </row>
    <row r="35" spans="1:13" ht="28.8">
      <c r="A35" s="74">
        <v>13</v>
      </c>
      <c r="B35" s="77" t="s">
        <v>130</v>
      </c>
      <c r="D35" s="77" t="s">
        <v>121</v>
      </c>
      <c r="G35" s="5" t="s">
        <v>144</v>
      </c>
      <c r="H35" s="77" t="s">
        <v>55</v>
      </c>
      <c r="I35" s="77" t="s">
        <v>56</v>
      </c>
      <c r="J35" s="77" t="s">
        <v>30</v>
      </c>
      <c r="K35" s="77" t="s">
        <v>56</v>
      </c>
      <c r="L35" s="77" t="s">
        <v>17</v>
      </c>
      <c r="M35" s="77" t="s">
        <v>8</v>
      </c>
    </row>
    <row r="36" spans="1:13" ht="28.8">
      <c r="A36" s="74">
        <v>13</v>
      </c>
      <c r="B36" s="77" t="s">
        <v>130</v>
      </c>
      <c r="D36" s="77" t="s">
        <v>121</v>
      </c>
      <c r="G36" s="5" t="s">
        <v>144</v>
      </c>
      <c r="H36" s="77" t="s">
        <v>55</v>
      </c>
      <c r="I36" s="77" t="s">
        <v>56</v>
      </c>
      <c r="J36" s="77" t="s">
        <v>30</v>
      </c>
      <c r="K36" s="77" t="s">
        <v>64</v>
      </c>
      <c r="L36" s="77" t="s">
        <v>17</v>
      </c>
      <c r="M36" s="77" t="s">
        <v>8</v>
      </c>
    </row>
    <row r="37" spans="1:13" ht="28.8">
      <c r="A37" s="74">
        <v>13</v>
      </c>
      <c r="B37" s="77" t="s">
        <v>130</v>
      </c>
      <c r="D37" s="77" t="s">
        <v>121</v>
      </c>
      <c r="G37" s="5" t="s">
        <v>144</v>
      </c>
      <c r="H37" s="77" t="s">
        <v>55</v>
      </c>
      <c r="I37" s="77" t="s">
        <v>56</v>
      </c>
      <c r="J37" s="77" t="s">
        <v>30</v>
      </c>
      <c r="K37" s="77" t="s">
        <v>63</v>
      </c>
      <c r="L37" s="77" t="s">
        <v>17</v>
      </c>
      <c r="M37" s="77" t="s">
        <v>8</v>
      </c>
    </row>
    <row r="38" spans="1:13" ht="28.8">
      <c r="A38" s="74">
        <v>17</v>
      </c>
      <c r="B38" s="77" t="s">
        <v>114</v>
      </c>
      <c r="D38" s="77" t="s">
        <v>145</v>
      </c>
      <c r="G38" s="5" t="s">
        <v>146</v>
      </c>
      <c r="H38" s="77" t="s">
        <v>55</v>
      </c>
      <c r="I38" s="77" t="s">
        <v>56</v>
      </c>
      <c r="J38" s="77" t="s">
        <v>30</v>
      </c>
      <c r="K38" s="77" t="s">
        <v>56</v>
      </c>
      <c r="L38" s="77" t="s">
        <v>17</v>
      </c>
      <c r="M38" s="77" t="s">
        <v>8</v>
      </c>
    </row>
    <row r="39" spans="1:13" ht="28.8">
      <c r="A39" s="74">
        <v>17</v>
      </c>
      <c r="B39" s="77" t="s">
        <v>114</v>
      </c>
      <c r="D39" s="77" t="s">
        <v>145</v>
      </c>
      <c r="G39" s="5" t="s">
        <v>146</v>
      </c>
      <c r="H39" s="77" t="s">
        <v>55</v>
      </c>
      <c r="I39" s="77" t="s">
        <v>56</v>
      </c>
      <c r="J39" s="77" t="s">
        <v>30</v>
      </c>
      <c r="K39" s="77" t="s">
        <v>64</v>
      </c>
      <c r="L39" s="77" t="s">
        <v>17</v>
      </c>
      <c r="M39" s="77" t="s">
        <v>8</v>
      </c>
    </row>
    <row r="40" spans="1:13" ht="28.8">
      <c r="A40" s="74">
        <v>17</v>
      </c>
      <c r="B40" s="77" t="s">
        <v>114</v>
      </c>
      <c r="D40" s="77" t="s">
        <v>145</v>
      </c>
      <c r="G40" s="5" t="s">
        <v>146</v>
      </c>
      <c r="H40" s="77" t="s">
        <v>55</v>
      </c>
      <c r="I40" s="77" t="s">
        <v>56</v>
      </c>
      <c r="J40" s="77" t="s">
        <v>30</v>
      </c>
      <c r="K40" s="77" t="s">
        <v>63</v>
      </c>
      <c r="L40" s="77" t="s">
        <v>17</v>
      </c>
      <c r="M40" s="77" t="s">
        <v>8</v>
      </c>
    </row>
    <row r="41" spans="1:13">
      <c r="A41" s="74">
        <v>17</v>
      </c>
      <c r="B41" s="77" t="s">
        <v>114</v>
      </c>
      <c r="D41" s="77" t="s">
        <v>145</v>
      </c>
      <c r="G41" s="5" t="s">
        <v>147</v>
      </c>
      <c r="H41" s="77" t="s">
        <v>132</v>
      </c>
      <c r="I41" s="77" t="s">
        <v>71</v>
      </c>
      <c r="J41" s="77" t="s">
        <v>30</v>
      </c>
      <c r="K41" s="77" t="s">
        <v>133</v>
      </c>
      <c r="L41" s="77" t="s">
        <v>17</v>
      </c>
      <c r="M41" s="77" t="s">
        <v>8</v>
      </c>
    </row>
    <row r="42" spans="1:13">
      <c r="A42" s="74">
        <v>17</v>
      </c>
      <c r="B42" s="77" t="s">
        <v>114</v>
      </c>
      <c r="D42" s="77" t="s">
        <v>145</v>
      </c>
      <c r="G42" s="5" t="s">
        <v>147</v>
      </c>
      <c r="H42" s="77" t="s">
        <v>132</v>
      </c>
      <c r="I42" s="77" t="s">
        <v>71</v>
      </c>
      <c r="J42" s="77" t="s">
        <v>30</v>
      </c>
      <c r="K42" s="77" t="s">
        <v>56</v>
      </c>
      <c r="L42" s="77" t="s">
        <v>17</v>
      </c>
      <c r="M42" s="77" t="s">
        <v>8</v>
      </c>
    </row>
    <row r="43" spans="1:13">
      <c r="A43" s="74">
        <v>17</v>
      </c>
      <c r="B43" s="77" t="s">
        <v>114</v>
      </c>
      <c r="D43" s="77" t="s">
        <v>145</v>
      </c>
      <c r="G43" s="5" t="s">
        <v>147</v>
      </c>
      <c r="H43" s="77" t="s">
        <v>132</v>
      </c>
      <c r="I43" s="77" t="s">
        <v>71</v>
      </c>
      <c r="J43" s="77" t="s">
        <v>30</v>
      </c>
      <c r="K43" s="77" t="s">
        <v>64</v>
      </c>
      <c r="L43" s="77" t="s">
        <v>17</v>
      </c>
      <c r="M43" s="77" t="s">
        <v>8</v>
      </c>
    </row>
    <row r="44" spans="1:13" ht="28.8">
      <c r="A44" s="74">
        <v>17</v>
      </c>
      <c r="B44" s="77" t="s">
        <v>114</v>
      </c>
      <c r="D44" s="77" t="s">
        <v>145</v>
      </c>
      <c r="G44" s="5" t="s">
        <v>148</v>
      </c>
      <c r="H44" s="77" t="s">
        <v>129</v>
      </c>
      <c r="I44" s="77" t="s">
        <v>70</v>
      </c>
      <c r="J44" s="77" t="s">
        <v>19</v>
      </c>
      <c r="K44" s="77" t="s">
        <v>67</v>
      </c>
      <c r="L44" s="77" t="s">
        <v>12</v>
      </c>
      <c r="M44" s="77" t="s">
        <v>8</v>
      </c>
    </row>
    <row r="45" spans="1:13" ht="28.8">
      <c r="A45" s="74">
        <v>17</v>
      </c>
      <c r="B45" s="77" t="s">
        <v>114</v>
      </c>
      <c r="D45" s="77" t="s">
        <v>145</v>
      </c>
      <c r="G45" s="5" t="s">
        <v>148</v>
      </c>
      <c r="H45" s="77" t="s">
        <v>129</v>
      </c>
      <c r="I45" s="77" t="s">
        <v>70</v>
      </c>
      <c r="J45" s="77" t="s">
        <v>19</v>
      </c>
      <c r="K45" s="77" t="s">
        <v>62</v>
      </c>
      <c r="L45" s="77" t="s">
        <v>12</v>
      </c>
      <c r="M45" s="77" t="s">
        <v>8</v>
      </c>
    </row>
    <row r="46" spans="1:13" ht="28.8">
      <c r="A46" s="74">
        <v>17</v>
      </c>
      <c r="B46" s="77" t="s">
        <v>114</v>
      </c>
      <c r="D46" s="77" t="s">
        <v>145</v>
      </c>
      <c r="G46" s="5" t="s">
        <v>148</v>
      </c>
      <c r="H46" s="77" t="s">
        <v>129</v>
      </c>
      <c r="I46" s="77" t="s">
        <v>70</v>
      </c>
      <c r="J46" s="77" t="s">
        <v>19</v>
      </c>
      <c r="K46" s="77" t="s">
        <v>61</v>
      </c>
      <c r="L46" s="77" t="s">
        <v>12</v>
      </c>
      <c r="M46" s="77" t="s">
        <v>8</v>
      </c>
    </row>
    <row r="47" spans="1:13">
      <c r="A47" s="74">
        <v>17</v>
      </c>
      <c r="B47" s="77" t="s">
        <v>114</v>
      </c>
      <c r="D47" s="77" t="s">
        <v>145</v>
      </c>
      <c r="G47" s="5" t="s">
        <v>149</v>
      </c>
      <c r="H47" s="77" t="s">
        <v>150</v>
      </c>
      <c r="I47" s="77" t="s">
        <v>71</v>
      </c>
      <c r="J47" s="77" t="s">
        <v>28</v>
      </c>
      <c r="K47" s="77" t="s">
        <v>133</v>
      </c>
      <c r="L47" s="77" t="s">
        <v>17</v>
      </c>
      <c r="M47" s="77" t="s">
        <v>8</v>
      </c>
    </row>
    <row r="48" spans="1:13">
      <c r="A48" s="74">
        <v>17</v>
      </c>
      <c r="B48" s="77" t="s">
        <v>114</v>
      </c>
      <c r="D48" s="77" t="s">
        <v>145</v>
      </c>
      <c r="G48" s="5" t="s">
        <v>149</v>
      </c>
      <c r="H48" s="77" t="s">
        <v>150</v>
      </c>
      <c r="I48" s="77" t="s">
        <v>71</v>
      </c>
      <c r="J48" s="77" t="s">
        <v>28</v>
      </c>
      <c r="K48" s="77" t="s">
        <v>56</v>
      </c>
      <c r="L48" s="77" t="s">
        <v>17</v>
      </c>
      <c r="M48" s="77" t="s">
        <v>8</v>
      </c>
    </row>
    <row r="49" spans="1:13">
      <c r="A49" s="74">
        <v>17</v>
      </c>
      <c r="B49" s="77" t="s">
        <v>114</v>
      </c>
      <c r="D49" s="77" t="s">
        <v>145</v>
      </c>
      <c r="G49" s="5" t="s">
        <v>149</v>
      </c>
      <c r="H49" s="77" t="s">
        <v>150</v>
      </c>
      <c r="I49" s="77" t="s">
        <v>71</v>
      </c>
      <c r="J49" s="77" t="s">
        <v>28</v>
      </c>
      <c r="K49" s="77" t="s">
        <v>64</v>
      </c>
      <c r="L49" s="77" t="s">
        <v>17</v>
      </c>
      <c r="M49" s="77" t="s">
        <v>8</v>
      </c>
    </row>
    <row r="50" spans="1:13" ht="28.8">
      <c r="A50" s="74">
        <v>17</v>
      </c>
      <c r="B50" s="77" t="s">
        <v>114</v>
      </c>
      <c r="D50" s="77" t="s">
        <v>145</v>
      </c>
      <c r="G50" s="5" t="s">
        <v>151</v>
      </c>
      <c r="H50" s="77" t="s">
        <v>55</v>
      </c>
      <c r="I50" s="77" t="s">
        <v>56</v>
      </c>
      <c r="J50" s="77" t="s">
        <v>30</v>
      </c>
      <c r="K50" s="77" t="s">
        <v>56</v>
      </c>
      <c r="L50" s="77" t="s">
        <v>17</v>
      </c>
      <c r="M50" s="77" t="s">
        <v>8</v>
      </c>
    </row>
    <row r="51" spans="1:13" ht="28.8">
      <c r="A51" s="74">
        <v>17</v>
      </c>
      <c r="B51" s="77" t="s">
        <v>114</v>
      </c>
      <c r="D51" s="77" t="s">
        <v>145</v>
      </c>
      <c r="G51" s="5" t="s">
        <v>151</v>
      </c>
      <c r="H51" s="77" t="s">
        <v>55</v>
      </c>
      <c r="I51" s="77" t="s">
        <v>56</v>
      </c>
      <c r="J51" s="77" t="s">
        <v>30</v>
      </c>
      <c r="K51" s="77" t="s">
        <v>64</v>
      </c>
      <c r="L51" s="77" t="s">
        <v>17</v>
      </c>
      <c r="M51" s="77" t="s">
        <v>8</v>
      </c>
    </row>
    <row r="52" spans="1:13" ht="28.8">
      <c r="A52" s="74">
        <v>17</v>
      </c>
      <c r="B52" s="77" t="s">
        <v>114</v>
      </c>
      <c r="D52" s="77" t="s">
        <v>145</v>
      </c>
      <c r="G52" s="5" t="s">
        <v>151</v>
      </c>
      <c r="H52" s="77" t="s">
        <v>55</v>
      </c>
      <c r="I52" s="77" t="s">
        <v>56</v>
      </c>
      <c r="J52" s="77" t="s">
        <v>30</v>
      </c>
      <c r="K52" s="77" t="s">
        <v>63</v>
      </c>
      <c r="L52" s="77" t="s">
        <v>17</v>
      </c>
      <c r="M52" s="77" t="s">
        <v>8</v>
      </c>
    </row>
    <row r="53" spans="1:13">
      <c r="A53" s="74">
        <v>12</v>
      </c>
      <c r="B53" s="77" t="s">
        <v>106</v>
      </c>
      <c r="D53" s="77" t="s">
        <v>121</v>
      </c>
      <c r="G53" s="5" t="s">
        <v>152</v>
      </c>
      <c r="H53" s="77" t="s">
        <v>55</v>
      </c>
      <c r="I53" s="77" t="s">
        <v>56</v>
      </c>
      <c r="J53" s="77" t="s">
        <v>30</v>
      </c>
      <c r="K53" s="77" t="s">
        <v>56</v>
      </c>
      <c r="L53" s="77" t="s">
        <v>17</v>
      </c>
      <c r="M53" s="77" t="s">
        <v>8</v>
      </c>
    </row>
    <row r="54" spans="1:13">
      <c r="A54" s="74">
        <v>12</v>
      </c>
      <c r="B54" s="77" t="s">
        <v>106</v>
      </c>
      <c r="D54" s="77" t="s">
        <v>121</v>
      </c>
      <c r="G54" s="5" t="s">
        <v>152</v>
      </c>
      <c r="H54" s="77" t="s">
        <v>55</v>
      </c>
      <c r="I54" s="77" t="s">
        <v>56</v>
      </c>
      <c r="J54" s="77" t="s">
        <v>30</v>
      </c>
      <c r="K54" s="77" t="s">
        <v>64</v>
      </c>
      <c r="L54" s="77" t="s">
        <v>17</v>
      </c>
      <c r="M54" s="77" t="s">
        <v>8</v>
      </c>
    </row>
    <row r="55" spans="1:13">
      <c r="A55" s="74">
        <v>12</v>
      </c>
      <c r="B55" s="77" t="s">
        <v>106</v>
      </c>
      <c r="D55" s="77" t="s">
        <v>121</v>
      </c>
      <c r="G55" s="5" t="s">
        <v>152</v>
      </c>
      <c r="H55" s="77" t="s">
        <v>55</v>
      </c>
      <c r="I55" s="77" t="s">
        <v>56</v>
      </c>
      <c r="J55" s="77" t="s">
        <v>30</v>
      </c>
      <c r="K55" s="77" t="s">
        <v>63</v>
      </c>
      <c r="L55" s="77" t="s">
        <v>17</v>
      </c>
      <c r="M55" s="77" t="s">
        <v>8</v>
      </c>
    </row>
    <row r="56" spans="1:13">
      <c r="A56" s="74">
        <v>12</v>
      </c>
      <c r="B56" s="77" t="s">
        <v>106</v>
      </c>
      <c r="D56" s="77" t="s">
        <v>121</v>
      </c>
      <c r="G56" s="5" t="s">
        <v>153</v>
      </c>
      <c r="H56" s="77" t="s">
        <v>55</v>
      </c>
      <c r="I56" s="77" t="s">
        <v>56</v>
      </c>
      <c r="J56" s="77" t="s">
        <v>30</v>
      </c>
      <c r="K56" s="77" t="s">
        <v>56</v>
      </c>
      <c r="L56" s="77" t="s">
        <v>17</v>
      </c>
      <c r="M56" s="77" t="s">
        <v>8</v>
      </c>
    </row>
    <row r="57" spans="1:13">
      <c r="A57" s="74">
        <v>12</v>
      </c>
      <c r="B57" s="77" t="s">
        <v>106</v>
      </c>
      <c r="D57" s="77" t="s">
        <v>121</v>
      </c>
      <c r="G57" s="5" t="s">
        <v>153</v>
      </c>
      <c r="H57" s="77" t="s">
        <v>55</v>
      </c>
      <c r="I57" s="77" t="s">
        <v>56</v>
      </c>
      <c r="J57" s="77" t="s">
        <v>30</v>
      </c>
      <c r="K57" s="77" t="s">
        <v>64</v>
      </c>
      <c r="L57" s="77" t="s">
        <v>17</v>
      </c>
      <c r="M57" s="77" t="s">
        <v>8</v>
      </c>
    </row>
    <row r="58" spans="1:13">
      <c r="A58" s="74">
        <v>12</v>
      </c>
      <c r="B58" s="77" t="s">
        <v>106</v>
      </c>
      <c r="D58" s="77" t="s">
        <v>121</v>
      </c>
      <c r="G58" s="5" t="s">
        <v>153</v>
      </c>
      <c r="H58" s="77" t="s">
        <v>55</v>
      </c>
      <c r="I58" s="77" t="s">
        <v>56</v>
      </c>
      <c r="J58" s="77" t="s">
        <v>30</v>
      </c>
      <c r="K58" s="77" t="s">
        <v>63</v>
      </c>
      <c r="L58" s="77" t="s">
        <v>17</v>
      </c>
      <c r="M58" s="77" t="s">
        <v>8</v>
      </c>
    </row>
    <row r="59" spans="1:13">
      <c r="A59" s="74">
        <v>12</v>
      </c>
      <c r="B59" s="77" t="s">
        <v>106</v>
      </c>
      <c r="D59" s="77" t="s">
        <v>121</v>
      </c>
      <c r="G59" s="5" t="s">
        <v>154</v>
      </c>
      <c r="H59" s="77" t="s">
        <v>55</v>
      </c>
      <c r="I59" s="77" t="s">
        <v>56</v>
      </c>
      <c r="J59" s="77" t="s">
        <v>30</v>
      </c>
      <c r="K59" s="77" t="s">
        <v>56</v>
      </c>
      <c r="L59" s="77" t="s">
        <v>17</v>
      </c>
      <c r="M59" s="77" t="s">
        <v>8</v>
      </c>
    </row>
    <row r="60" spans="1:13">
      <c r="A60" s="74">
        <v>12</v>
      </c>
      <c r="B60" s="77" t="s">
        <v>106</v>
      </c>
      <c r="D60" s="77" t="s">
        <v>121</v>
      </c>
      <c r="G60" s="5" t="s">
        <v>154</v>
      </c>
      <c r="H60" s="77" t="s">
        <v>55</v>
      </c>
      <c r="I60" s="77" t="s">
        <v>56</v>
      </c>
      <c r="J60" s="77" t="s">
        <v>30</v>
      </c>
      <c r="K60" s="77" t="s">
        <v>64</v>
      </c>
      <c r="L60" s="77" t="s">
        <v>17</v>
      </c>
      <c r="M60" s="77" t="s">
        <v>8</v>
      </c>
    </row>
    <row r="61" spans="1:13">
      <c r="A61" s="74">
        <v>12</v>
      </c>
      <c r="B61" s="77" t="s">
        <v>106</v>
      </c>
      <c r="D61" s="77" t="s">
        <v>121</v>
      </c>
      <c r="G61" s="5" t="s">
        <v>154</v>
      </c>
      <c r="H61" s="77" t="s">
        <v>55</v>
      </c>
      <c r="I61" s="77" t="s">
        <v>56</v>
      </c>
      <c r="J61" s="77" t="s">
        <v>30</v>
      </c>
      <c r="K61" s="77" t="s">
        <v>63</v>
      </c>
      <c r="L61" s="77" t="s">
        <v>17</v>
      </c>
      <c r="M61" s="77" t="s">
        <v>8</v>
      </c>
    </row>
    <row r="62" spans="1:13">
      <c r="A62" s="74">
        <v>12</v>
      </c>
      <c r="B62" s="77" t="s">
        <v>106</v>
      </c>
      <c r="D62" s="77" t="s">
        <v>121</v>
      </c>
      <c r="G62" s="5" t="s">
        <v>155</v>
      </c>
      <c r="H62" s="77" t="s">
        <v>55</v>
      </c>
      <c r="I62" s="77" t="s">
        <v>56</v>
      </c>
      <c r="J62" s="77" t="s">
        <v>30</v>
      </c>
      <c r="K62" s="77" t="s">
        <v>56</v>
      </c>
      <c r="L62" s="77" t="s">
        <v>17</v>
      </c>
      <c r="M62" s="77" t="s">
        <v>8</v>
      </c>
    </row>
    <row r="63" spans="1:13">
      <c r="A63" s="74">
        <v>12</v>
      </c>
      <c r="B63" s="77" t="s">
        <v>106</v>
      </c>
      <c r="D63" s="77" t="s">
        <v>121</v>
      </c>
      <c r="G63" s="5" t="s">
        <v>155</v>
      </c>
      <c r="H63" s="77" t="s">
        <v>55</v>
      </c>
      <c r="I63" s="77" t="s">
        <v>56</v>
      </c>
      <c r="J63" s="77" t="s">
        <v>30</v>
      </c>
      <c r="K63" s="77" t="s">
        <v>64</v>
      </c>
      <c r="L63" s="77" t="s">
        <v>17</v>
      </c>
      <c r="M63" s="77" t="s">
        <v>8</v>
      </c>
    </row>
    <row r="64" spans="1:13">
      <c r="A64" s="74">
        <v>12</v>
      </c>
      <c r="B64" s="77" t="s">
        <v>106</v>
      </c>
      <c r="D64" s="77" t="s">
        <v>121</v>
      </c>
      <c r="G64" s="5" t="s">
        <v>155</v>
      </c>
      <c r="H64" s="77" t="s">
        <v>55</v>
      </c>
      <c r="I64" s="77" t="s">
        <v>56</v>
      </c>
      <c r="J64" s="77" t="s">
        <v>30</v>
      </c>
      <c r="K64" s="77" t="s">
        <v>63</v>
      </c>
      <c r="L64" s="77" t="s">
        <v>17</v>
      </c>
      <c r="M64" s="77" t="s">
        <v>8</v>
      </c>
    </row>
    <row r="65" spans="1:13">
      <c r="A65" s="74">
        <v>12</v>
      </c>
      <c r="B65" s="77" t="s">
        <v>106</v>
      </c>
      <c r="D65" s="77" t="s">
        <v>121</v>
      </c>
      <c r="G65" s="5" t="s">
        <v>156</v>
      </c>
      <c r="H65" s="77" t="s">
        <v>55</v>
      </c>
      <c r="I65" s="77" t="s">
        <v>56</v>
      </c>
      <c r="J65" s="77" t="s">
        <v>30</v>
      </c>
      <c r="K65" s="77" t="s">
        <v>56</v>
      </c>
      <c r="L65" s="77" t="s">
        <v>17</v>
      </c>
      <c r="M65" s="77" t="s">
        <v>8</v>
      </c>
    </row>
    <row r="66" spans="1:13">
      <c r="A66" s="74">
        <v>12</v>
      </c>
      <c r="B66" s="77" t="s">
        <v>106</v>
      </c>
      <c r="D66" s="77" t="s">
        <v>121</v>
      </c>
      <c r="G66" s="5" t="s">
        <v>156</v>
      </c>
      <c r="H66" s="77" t="s">
        <v>55</v>
      </c>
      <c r="I66" s="77" t="s">
        <v>56</v>
      </c>
      <c r="J66" s="77" t="s">
        <v>30</v>
      </c>
      <c r="K66" s="77" t="s">
        <v>64</v>
      </c>
      <c r="L66" s="77" t="s">
        <v>17</v>
      </c>
      <c r="M66" s="77" t="s">
        <v>8</v>
      </c>
    </row>
    <row r="67" spans="1:13">
      <c r="A67" s="74">
        <v>12</v>
      </c>
      <c r="B67" s="77" t="s">
        <v>106</v>
      </c>
      <c r="D67" s="77" t="s">
        <v>121</v>
      </c>
      <c r="G67" s="5" t="s">
        <v>156</v>
      </c>
      <c r="H67" s="77" t="s">
        <v>55</v>
      </c>
      <c r="I67" s="77" t="s">
        <v>56</v>
      </c>
      <c r="J67" s="77" t="s">
        <v>30</v>
      </c>
      <c r="K67" s="77" t="s">
        <v>63</v>
      </c>
      <c r="L67" s="77" t="s">
        <v>17</v>
      </c>
      <c r="M67" s="77" t="s">
        <v>8</v>
      </c>
    </row>
    <row r="68" spans="1:13" ht="28.8">
      <c r="A68" s="74">
        <v>12</v>
      </c>
      <c r="B68" s="77" t="s">
        <v>106</v>
      </c>
      <c r="D68" s="77" t="s">
        <v>121</v>
      </c>
      <c r="G68" s="5" t="s">
        <v>157</v>
      </c>
      <c r="H68" s="77" t="s">
        <v>55</v>
      </c>
      <c r="I68" s="77" t="s">
        <v>56</v>
      </c>
      <c r="J68" s="77" t="s">
        <v>30</v>
      </c>
      <c r="K68" s="77" t="s">
        <v>56</v>
      </c>
      <c r="L68" s="77" t="s">
        <v>17</v>
      </c>
      <c r="M68" s="77" t="s">
        <v>8</v>
      </c>
    </row>
    <row r="69" spans="1:13" ht="28.8">
      <c r="A69" s="74">
        <v>12</v>
      </c>
      <c r="B69" s="77" t="s">
        <v>106</v>
      </c>
      <c r="D69" s="77" t="s">
        <v>121</v>
      </c>
      <c r="G69" s="5" t="s">
        <v>157</v>
      </c>
      <c r="H69" s="77" t="s">
        <v>55</v>
      </c>
      <c r="I69" s="77" t="s">
        <v>56</v>
      </c>
      <c r="J69" s="77" t="s">
        <v>30</v>
      </c>
      <c r="K69" s="77" t="s">
        <v>64</v>
      </c>
      <c r="L69" s="77" t="s">
        <v>17</v>
      </c>
      <c r="M69" s="77" t="s">
        <v>8</v>
      </c>
    </row>
    <row r="70" spans="1:13" ht="28.8">
      <c r="A70" s="74">
        <v>12</v>
      </c>
      <c r="B70" s="77" t="s">
        <v>106</v>
      </c>
      <c r="D70" s="77" t="s">
        <v>121</v>
      </c>
      <c r="G70" s="5" t="s">
        <v>157</v>
      </c>
      <c r="H70" s="77" t="s">
        <v>55</v>
      </c>
      <c r="I70" s="77" t="s">
        <v>56</v>
      </c>
      <c r="J70" s="77" t="s">
        <v>30</v>
      </c>
      <c r="K70" s="77" t="s">
        <v>63</v>
      </c>
      <c r="L70" s="77" t="s">
        <v>17</v>
      </c>
      <c r="M70" s="77" t="s">
        <v>8</v>
      </c>
    </row>
    <row r="71" spans="1:13">
      <c r="A71" s="74">
        <v>12</v>
      </c>
      <c r="B71" s="77" t="s">
        <v>106</v>
      </c>
      <c r="D71" s="77" t="s">
        <v>121</v>
      </c>
      <c r="G71" s="5" t="s">
        <v>158</v>
      </c>
      <c r="H71" s="77" t="s">
        <v>129</v>
      </c>
      <c r="I71" s="77" t="s">
        <v>70</v>
      </c>
      <c r="J71" s="77" t="s">
        <v>19</v>
      </c>
      <c r="K71" s="77" t="s">
        <v>67</v>
      </c>
      <c r="L71" s="77" t="s">
        <v>12</v>
      </c>
      <c r="M71" s="77" t="s">
        <v>8</v>
      </c>
    </row>
    <row r="72" spans="1:13">
      <c r="A72" s="74">
        <v>12</v>
      </c>
      <c r="B72" s="77" t="s">
        <v>106</v>
      </c>
      <c r="D72" s="77" t="s">
        <v>121</v>
      </c>
      <c r="G72" s="5" t="s">
        <v>158</v>
      </c>
      <c r="H72" s="77" t="s">
        <v>129</v>
      </c>
      <c r="I72" s="77" t="s">
        <v>70</v>
      </c>
      <c r="J72" s="77" t="s">
        <v>19</v>
      </c>
      <c r="K72" s="77" t="s">
        <v>62</v>
      </c>
      <c r="L72" s="77" t="s">
        <v>12</v>
      </c>
      <c r="M72" s="77" t="s">
        <v>8</v>
      </c>
    </row>
    <row r="73" spans="1:13">
      <c r="A73" s="74">
        <v>12</v>
      </c>
      <c r="B73" s="77" t="s">
        <v>106</v>
      </c>
      <c r="D73" s="77" t="s">
        <v>121</v>
      </c>
      <c r="G73" s="5" t="s">
        <v>158</v>
      </c>
      <c r="H73" s="77" t="s">
        <v>129</v>
      </c>
      <c r="I73" s="77" t="s">
        <v>70</v>
      </c>
      <c r="J73" s="77" t="s">
        <v>19</v>
      </c>
      <c r="K73" s="77" t="s">
        <v>61</v>
      </c>
      <c r="L73" s="77" t="s">
        <v>12</v>
      </c>
      <c r="M73" s="77" t="s">
        <v>8</v>
      </c>
    </row>
    <row r="74" spans="1:13">
      <c r="A74" s="74">
        <v>12</v>
      </c>
      <c r="B74" s="77" t="s">
        <v>106</v>
      </c>
      <c r="D74" s="77" t="s">
        <v>121</v>
      </c>
      <c r="G74" s="5" t="s">
        <v>159</v>
      </c>
      <c r="H74" s="77" t="s">
        <v>140</v>
      </c>
      <c r="I74" s="77" t="s">
        <v>141</v>
      </c>
      <c r="J74" s="77" t="s">
        <v>5</v>
      </c>
      <c r="K74" s="77" t="s">
        <v>63</v>
      </c>
      <c r="L74" s="77" t="s">
        <v>17</v>
      </c>
      <c r="M74" s="77" t="s">
        <v>8</v>
      </c>
    </row>
    <row r="75" spans="1:13">
      <c r="A75" s="74">
        <v>12</v>
      </c>
      <c r="B75" s="77" t="s">
        <v>106</v>
      </c>
      <c r="D75" s="77" t="s">
        <v>121</v>
      </c>
      <c r="G75" s="5" t="s">
        <v>159</v>
      </c>
      <c r="H75" s="77" t="s">
        <v>140</v>
      </c>
      <c r="I75" s="77" t="s">
        <v>141</v>
      </c>
      <c r="J75" s="77" t="s">
        <v>5</v>
      </c>
      <c r="K75" s="77" t="s">
        <v>56</v>
      </c>
      <c r="L75" s="77" t="s">
        <v>17</v>
      </c>
      <c r="M75" s="77" t="s">
        <v>8</v>
      </c>
    </row>
    <row r="76" spans="1:13">
      <c r="A76" s="74">
        <v>12</v>
      </c>
      <c r="B76" s="77" t="s">
        <v>106</v>
      </c>
      <c r="D76" s="77" t="s">
        <v>121</v>
      </c>
      <c r="G76" s="5" t="s">
        <v>159</v>
      </c>
      <c r="H76" s="77" t="s">
        <v>140</v>
      </c>
      <c r="I76" s="77" t="s">
        <v>141</v>
      </c>
      <c r="J76" s="77" t="s">
        <v>5</v>
      </c>
      <c r="K76" s="77" t="s">
        <v>64</v>
      </c>
      <c r="L76" s="77" t="s">
        <v>17</v>
      </c>
      <c r="M76" s="77" t="s">
        <v>8</v>
      </c>
    </row>
    <row r="77" spans="1:13">
      <c r="A77" s="74">
        <v>12</v>
      </c>
      <c r="B77" s="77" t="s">
        <v>106</v>
      </c>
      <c r="D77" s="77" t="s">
        <v>121</v>
      </c>
      <c r="G77" s="5" t="s">
        <v>160</v>
      </c>
      <c r="H77" s="77" t="s">
        <v>55</v>
      </c>
      <c r="I77" s="77" t="s">
        <v>56</v>
      </c>
      <c r="J77" s="77" t="s">
        <v>30</v>
      </c>
      <c r="K77" s="77" t="s">
        <v>56</v>
      </c>
      <c r="L77" s="77" t="s">
        <v>17</v>
      </c>
      <c r="M77" s="77" t="s">
        <v>8</v>
      </c>
    </row>
    <row r="78" spans="1:13">
      <c r="A78" s="74">
        <v>12</v>
      </c>
      <c r="B78" s="77" t="s">
        <v>106</v>
      </c>
      <c r="D78" s="77" t="s">
        <v>121</v>
      </c>
      <c r="G78" s="5" t="s">
        <v>160</v>
      </c>
      <c r="H78" s="77" t="s">
        <v>55</v>
      </c>
      <c r="I78" s="77" t="s">
        <v>56</v>
      </c>
      <c r="J78" s="77" t="s">
        <v>30</v>
      </c>
      <c r="K78" s="77" t="s">
        <v>64</v>
      </c>
      <c r="L78" s="77" t="s">
        <v>17</v>
      </c>
      <c r="M78" s="77" t="s">
        <v>8</v>
      </c>
    </row>
    <row r="79" spans="1:13">
      <c r="A79" s="74">
        <v>12</v>
      </c>
      <c r="B79" s="77" t="s">
        <v>106</v>
      </c>
      <c r="D79" s="77" t="s">
        <v>121</v>
      </c>
      <c r="G79" s="5" t="s">
        <v>160</v>
      </c>
      <c r="H79" s="77" t="s">
        <v>55</v>
      </c>
      <c r="I79" s="77" t="s">
        <v>56</v>
      </c>
      <c r="J79" s="77" t="s">
        <v>30</v>
      </c>
      <c r="K79" s="77" t="s">
        <v>63</v>
      </c>
      <c r="L79" s="77" t="s">
        <v>17</v>
      </c>
      <c r="M79" s="77" t="s">
        <v>8</v>
      </c>
    </row>
    <row r="80" spans="1:13" ht="43.2">
      <c r="A80" s="74">
        <v>12</v>
      </c>
      <c r="B80" s="77" t="s">
        <v>106</v>
      </c>
      <c r="D80" s="77" t="s">
        <v>121</v>
      </c>
      <c r="G80" s="5" t="s">
        <v>161</v>
      </c>
      <c r="H80" s="77" t="s">
        <v>55</v>
      </c>
      <c r="I80" s="77" t="s">
        <v>56</v>
      </c>
      <c r="J80" s="77" t="s">
        <v>30</v>
      </c>
      <c r="K80" s="77" t="s">
        <v>56</v>
      </c>
      <c r="L80" s="77" t="s">
        <v>17</v>
      </c>
      <c r="M80" s="77" t="s">
        <v>8</v>
      </c>
    </row>
    <row r="81" spans="1:13" ht="43.2">
      <c r="A81" s="74">
        <v>12</v>
      </c>
      <c r="B81" s="77" t="s">
        <v>106</v>
      </c>
      <c r="D81" s="77" t="s">
        <v>121</v>
      </c>
      <c r="G81" s="5" t="s">
        <v>161</v>
      </c>
      <c r="H81" s="77" t="s">
        <v>55</v>
      </c>
      <c r="I81" s="77" t="s">
        <v>56</v>
      </c>
      <c r="J81" s="77" t="s">
        <v>30</v>
      </c>
      <c r="K81" s="77" t="s">
        <v>64</v>
      </c>
      <c r="L81" s="77" t="s">
        <v>17</v>
      </c>
      <c r="M81" s="77" t="s">
        <v>8</v>
      </c>
    </row>
    <row r="82" spans="1:13" ht="43.2">
      <c r="A82" s="74">
        <v>12</v>
      </c>
      <c r="B82" s="77" t="s">
        <v>106</v>
      </c>
      <c r="D82" s="77" t="s">
        <v>121</v>
      </c>
      <c r="G82" s="5" t="s">
        <v>161</v>
      </c>
      <c r="H82" s="77" t="s">
        <v>55</v>
      </c>
      <c r="I82" s="77" t="s">
        <v>56</v>
      </c>
      <c r="J82" s="77" t="s">
        <v>30</v>
      </c>
      <c r="K82" s="77" t="s">
        <v>63</v>
      </c>
      <c r="L82" s="77" t="s">
        <v>17</v>
      </c>
      <c r="M82" s="77" t="s">
        <v>8</v>
      </c>
    </row>
    <row r="83" spans="1:13" ht="43.2">
      <c r="A83" s="74">
        <v>5</v>
      </c>
      <c r="B83" s="77" t="s">
        <v>91</v>
      </c>
      <c r="D83" s="77" t="s">
        <v>121</v>
      </c>
      <c r="G83" s="5" t="s">
        <v>162</v>
      </c>
      <c r="H83" s="77" t="s">
        <v>150</v>
      </c>
      <c r="I83" s="77" t="s">
        <v>71</v>
      </c>
      <c r="J83" s="77" t="s">
        <v>28</v>
      </c>
      <c r="K83" s="77" t="s">
        <v>133</v>
      </c>
      <c r="L83" s="77" t="s">
        <v>17</v>
      </c>
      <c r="M83" s="77" t="s">
        <v>8</v>
      </c>
    </row>
    <row r="84" spans="1:13" ht="43.2">
      <c r="A84" s="74">
        <v>5</v>
      </c>
      <c r="B84" s="77" t="s">
        <v>91</v>
      </c>
      <c r="D84" s="77" t="s">
        <v>121</v>
      </c>
      <c r="G84" s="5" t="s">
        <v>162</v>
      </c>
      <c r="H84" s="77" t="s">
        <v>150</v>
      </c>
      <c r="I84" s="77" t="s">
        <v>71</v>
      </c>
      <c r="J84" s="77" t="s">
        <v>28</v>
      </c>
      <c r="K84" s="77" t="s">
        <v>56</v>
      </c>
      <c r="L84" s="77" t="s">
        <v>17</v>
      </c>
      <c r="M84" s="77" t="s">
        <v>8</v>
      </c>
    </row>
    <row r="85" spans="1:13" ht="43.2">
      <c r="A85" s="74">
        <v>5</v>
      </c>
      <c r="B85" s="77" t="s">
        <v>91</v>
      </c>
      <c r="D85" s="77" t="s">
        <v>121</v>
      </c>
      <c r="G85" s="5" t="s">
        <v>162</v>
      </c>
      <c r="H85" s="77" t="s">
        <v>150</v>
      </c>
      <c r="I85" s="77" t="s">
        <v>71</v>
      </c>
      <c r="J85" s="77" t="s">
        <v>28</v>
      </c>
      <c r="K85" s="77" t="s">
        <v>64</v>
      </c>
      <c r="L85" s="77" t="s">
        <v>17</v>
      </c>
      <c r="M85" s="77" t="s">
        <v>8</v>
      </c>
    </row>
    <row r="86" spans="1:13" ht="28.8">
      <c r="A86" s="74">
        <v>5</v>
      </c>
      <c r="B86" s="77" t="s">
        <v>91</v>
      </c>
      <c r="D86" s="77" t="s">
        <v>121</v>
      </c>
      <c r="G86" s="5" t="s">
        <v>163</v>
      </c>
      <c r="H86" s="77" t="s">
        <v>55</v>
      </c>
      <c r="I86" s="77" t="s">
        <v>56</v>
      </c>
      <c r="J86" s="77" t="s">
        <v>30</v>
      </c>
      <c r="K86" s="77" t="s">
        <v>56</v>
      </c>
      <c r="L86" s="77" t="s">
        <v>17</v>
      </c>
      <c r="M86" s="77" t="s">
        <v>8</v>
      </c>
    </row>
    <row r="87" spans="1:13" ht="28.8">
      <c r="A87" s="74">
        <v>5</v>
      </c>
      <c r="B87" s="77" t="s">
        <v>91</v>
      </c>
      <c r="D87" s="77" t="s">
        <v>121</v>
      </c>
      <c r="G87" s="5" t="s">
        <v>163</v>
      </c>
      <c r="H87" s="77" t="s">
        <v>55</v>
      </c>
      <c r="I87" s="77" t="s">
        <v>56</v>
      </c>
      <c r="J87" s="77" t="s">
        <v>30</v>
      </c>
      <c r="K87" s="77" t="s">
        <v>64</v>
      </c>
      <c r="L87" s="77" t="s">
        <v>17</v>
      </c>
      <c r="M87" s="77" t="s">
        <v>8</v>
      </c>
    </row>
    <row r="88" spans="1:13" ht="28.8">
      <c r="A88" s="74">
        <v>5</v>
      </c>
      <c r="B88" s="77" t="s">
        <v>91</v>
      </c>
      <c r="D88" s="77" t="s">
        <v>121</v>
      </c>
      <c r="G88" s="5" t="s">
        <v>163</v>
      </c>
      <c r="H88" s="77" t="s">
        <v>55</v>
      </c>
      <c r="I88" s="77" t="s">
        <v>56</v>
      </c>
      <c r="J88" s="77" t="s">
        <v>30</v>
      </c>
      <c r="K88" s="77" t="s">
        <v>63</v>
      </c>
      <c r="L88" s="77" t="s">
        <v>17</v>
      </c>
      <c r="M88" s="77" t="s">
        <v>8</v>
      </c>
    </row>
    <row r="89" spans="1:13" ht="28.8">
      <c r="A89" s="74">
        <v>5</v>
      </c>
      <c r="B89" s="77" t="s">
        <v>91</v>
      </c>
      <c r="D89" s="77" t="s">
        <v>121</v>
      </c>
      <c r="G89" s="5" t="s">
        <v>164</v>
      </c>
      <c r="H89" s="77" t="s">
        <v>129</v>
      </c>
      <c r="I89" s="77" t="s">
        <v>70</v>
      </c>
      <c r="J89" s="77" t="s">
        <v>19</v>
      </c>
      <c r="K89" s="77" t="s">
        <v>67</v>
      </c>
      <c r="L89" s="77" t="s">
        <v>12</v>
      </c>
      <c r="M89" s="77" t="s">
        <v>8</v>
      </c>
    </row>
    <row r="90" spans="1:13" ht="28.8">
      <c r="A90" s="74">
        <v>5</v>
      </c>
      <c r="B90" s="77" t="s">
        <v>91</v>
      </c>
      <c r="D90" s="77" t="s">
        <v>121</v>
      </c>
      <c r="G90" s="5" t="s">
        <v>164</v>
      </c>
      <c r="H90" s="77" t="s">
        <v>129</v>
      </c>
      <c r="I90" s="77" t="s">
        <v>70</v>
      </c>
      <c r="J90" s="77" t="s">
        <v>19</v>
      </c>
      <c r="K90" s="77" t="s">
        <v>62</v>
      </c>
      <c r="L90" s="77" t="s">
        <v>12</v>
      </c>
      <c r="M90" s="77" t="s">
        <v>8</v>
      </c>
    </row>
    <row r="91" spans="1:13" ht="28.8">
      <c r="A91" s="74">
        <v>5</v>
      </c>
      <c r="B91" s="77" t="s">
        <v>91</v>
      </c>
      <c r="D91" s="77" t="s">
        <v>121</v>
      </c>
      <c r="G91" s="5" t="s">
        <v>164</v>
      </c>
      <c r="H91" s="77" t="s">
        <v>129</v>
      </c>
      <c r="I91" s="77" t="s">
        <v>70</v>
      </c>
      <c r="J91" s="77" t="s">
        <v>19</v>
      </c>
      <c r="K91" s="77" t="s">
        <v>61</v>
      </c>
      <c r="L91" s="77" t="s">
        <v>12</v>
      </c>
      <c r="M91" s="77" t="s">
        <v>8</v>
      </c>
    </row>
    <row r="92" spans="1:13" ht="43.2">
      <c r="A92" s="74">
        <v>5</v>
      </c>
      <c r="B92" s="77" t="s">
        <v>91</v>
      </c>
      <c r="D92" s="77" t="s">
        <v>121</v>
      </c>
      <c r="G92" s="5" t="s">
        <v>165</v>
      </c>
      <c r="H92" s="77" t="s">
        <v>129</v>
      </c>
      <c r="I92" s="77" t="s">
        <v>70</v>
      </c>
      <c r="J92" s="77" t="s">
        <v>19</v>
      </c>
      <c r="K92" s="77" t="s">
        <v>67</v>
      </c>
      <c r="L92" s="77" t="s">
        <v>12</v>
      </c>
      <c r="M92" s="77" t="s">
        <v>8</v>
      </c>
    </row>
    <row r="93" spans="1:13" ht="43.2">
      <c r="A93" s="74">
        <v>5</v>
      </c>
      <c r="B93" s="77" t="s">
        <v>91</v>
      </c>
      <c r="D93" s="77" t="s">
        <v>121</v>
      </c>
      <c r="G93" s="5" t="s">
        <v>165</v>
      </c>
      <c r="H93" s="77" t="s">
        <v>129</v>
      </c>
      <c r="I93" s="77" t="s">
        <v>70</v>
      </c>
      <c r="J93" s="77" t="s">
        <v>19</v>
      </c>
      <c r="K93" s="77" t="s">
        <v>62</v>
      </c>
      <c r="L93" s="77" t="s">
        <v>12</v>
      </c>
      <c r="M93" s="77" t="s">
        <v>8</v>
      </c>
    </row>
    <row r="94" spans="1:13" ht="43.2">
      <c r="A94" s="74">
        <v>5</v>
      </c>
      <c r="B94" s="77" t="s">
        <v>91</v>
      </c>
      <c r="D94" s="77" t="s">
        <v>121</v>
      </c>
      <c r="G94" s="5" t="s">
        <v>165</v>
      </c>
      <c r="H94" s="77" t="s">
        <v>129</v>
      </c>
      <c r="I94" s="77" t="s">
        <v>70</v>
      </c>
      <c r="J94" s="77" t="s">
        <v>19</v>
      </c>
      <c r="K94" s="77" t="s">
        <v>61</v>
      </c>
      <c r="L94" s="77" t="s">
        <v>12</v>
      </c>
      <c r="M94" s="77" t="s">
        <v>8</v>
      </c>
    </row>
    <row r="95" spans="1:13" ht="43.2">
      <c r="A95" s="74">
        <v>5</v>
      </c>
      <c r="B95" s="77" t="s">
        <v>91</v>
      </c>
      <c r="D95" s="77" t="s">
        <v>121</v>
      </c>
      <c r="G95" s="5" t="s">
        <v>166</v>
      </c>
      <c r="H95" s="77" t="s">
        <v>150</v>
      </c>
      <c r="I95" s="77" t="s">
        <v>71</v>
      </c>
      <c r="J95" s="77" t="s">
        <v>28</v>
      </c>
      <c r="K95" s="77" t="s">
        <v>133</v>
      </c>
      <c r="L95" s="77" t="s">
        <v>17</v>
      </c>
      <c r="M95" s="77" t="s">
        <v>8</v>
      </c>
    </row>
    <row r="96" spans="1:13" ht="43.2">
      <c r="A96" s="74">
        <v>5</v>
      </c>
      <c r="B96" s="77" t="s">
        <v>91</v>
      </c>
      <c r="D96" s="77" t="s">
        <v>121</v>
      </c>
      <c r="G96" s="5" t="s">
        <v>166</v>
      </c>
      <c r="H96" s="77" t="s">
        <v>150</v>
      </c>
      <c r="I96" s="77" t="s">
        <v>71</v>
      </c>
      <c r="J96" s="77" t="s">
        <v>28</v>
      </c>
      <c r="K96" s="77" t="s">
        <v>56</v>
      </c>
      <c r="L96" s="77" t="s">
        <v>17</v>
      </c>
      <c r="M96" s="77" t="s">
        <v>8</v>
      </c>
    </row>
    <row r="97" spans="1:13" ht="43.2">
      <c r="A97" s="74">
        <v>5</v>
      </c>
      <c r="B97" s="77" t="s">
        <v>91</v>
      </c>
      <c r="D97" s="77" t="s">
        <v>121</v>
      </c>
      <c r="G97" s="5" t="s">
        <v>166</v>
      </c>
      <c r="H97" s="77" t="s">
        <v>150</v>
      </c>
      <c r="I97" s="77" t="s">
        <v>71</v>
      </c>
      <c r="J97" s="77" t="s">
        <v>28</v>
      </c>
      <c r="K97" s="77" t="s">
        <v>64</v>
      </c>
      <c r="L97" s="77" t="s">
        <v>17</v>
      </c>
      <c r="M97" s="77" t="s">
        <v>8</v>
      </c>
    </row>
    <row r="98" spans="1:13" ht="28.8">
      <c r="A98" s="74">
        <v>5</v>
      </c>
      <c r="B98" s="77" t="s">
        <v>91</v>
      </c>
      <c r="D98" s="77" t="s">
        <v>121</v>
      </c>
      <c r="G98" s="5" t="s">
        <v>167</v>
      </c>
      <c r="H98" s="77" t="s">
        <v>129</v>
      </c>
      <c r="I98" s="77" t="s">
        <v>70</v>
      </c>
      <c r="J98" s="77" t="s">
        <v>19</v>
      </c>
      <c r="K98" s="77" t="s">
        <v>67</v>
      </c>
      <c r="L98" s="77" t="s">
        <v>12</v>
      </c>
      <c r="M98" s="77" t="s">
        <v>8</v>
      </c>
    </row>
    <row r="99" spans="1:13" ht="28.8">
      <c r="A99" s="74">
        <v>5</v>
      </c>
      <c r="B99" s="77" t="s">
        <v>91</v>
      </c>
      <c r="D99" s="77" t="s">
        <v>121</v>
      </c>
      <c r="G99" s="5" t="s">
        <v>167</v>
      </c>
      <c r="H99" s="77" t="s">
        <v>129</v>
      </c>
      <c r="I99" s="77" t="s">
        <v>70</v>
      </c>
      <c r="J99" s="77" t="s">
        <v>19</v>
      </c>
      <c r="K99" s="77" t="s">
        <v>62</v>
      </c>
      <c r="L99" s="77" t="s">
        <v>12</v>
      </c>
      <c r="M99" s="77" t="s">
        <v>8</v>
      </c>
    </row>
    <row r="100" spans="1:13" ht="28.8">
      <c r="A100" s="74">
        <v>5</v>
      </c>
      <c r="B100" s="77" t="s">
        <v>91</v>
      </c>
      <c r="D100" s="77" t="s">
        <v>121</v>
      </c>
      <c r="G100" s="5" t="s">
        <v>167</v>
      </c>
      <c r="H100" s="77" t="s">
        <v>129</v>
      </c>
      <c r="I100" s="77" t="s">
        <v>70</v>
      </c>
      <c r="J100" s="77" t="s">
        <v>19</v>
      </c>
      <c r="K100" s="77" t="s">
        <v>61</v>
      </c>
      <c r="L100" s="77" t="s">
        <v>12</v>
      </c>
      <c r="M100" s="77" t="s">
        <v>8</v>
      </c>
    </row>
    <row r="101" spans="1:13" ht="43.2">
      <c r="A101" s="74">
        <v>5</v>
      </c>
      <c r="B101" s="77" t="s">
        <v>91</v>
      </c>
      <c r="D101" s="77" t="s">
        <v>121</v>
      </c>
      <c r="G101" s="5" t="s">
        <v>168</v>
      </c>
      <c r="H101" s="77" t="s">
        <v>169</v>
      </c>
      <c r="I101" s="77" t="s">
        <v>72</v>
      </c>
      <c r="J101" s="77" t="s">
        <v>23</v>
      </c>
      <c r="K101" s="77" t="s">
        <v>66</v>
      </c>
      <c r="L101" s="77" t="s">
        <v>17</v>
      </c>
      <c r="M101" s="77" t="s">
        <v>8</v>
      </c>
    </row>
    <row r="102" spans="1:13" ht="43.2">
      <c r="A102" s="74">
        <v>5</v>
      </c>
      <c r="B102" s="77" t="s">
        <v>91</v>
      </c>
      <c r="D102" s="77" t="s">
        <v>121</v>
      </c>
      <c r="G102" s="5" t="s">
        <v>168</v>
      </c>
      <c r="H102" s="77" t="s">
        <v>169</v>
      </c>
      <c r="I102" s="77" t="s">
        <v>72</v>
      </c>
      <c r="J102" s="77" t="s">
        <v>23</v>
      </c>
      <c r="K102" s="77" t="s">
        <v>62</v>
      </c>
      <c r="L102" s="77" t="s">
        <v>17</v>
      </c>
      <c r="M102" s="77" t="s">
        <v>8</v>
      </c>
    </row>
    <row r="103" spans="1:13" ht="43.2">
      <c r="A103" s="74">
        <v>5</v>
      </c>
      <c r="B103" s="77" t="s">
        <v>91</v>
      </c>
      <c r="D103" s="77" t="s">
        <v>121</v>
      </c>
      <c r="G103" s="5" t="s">
        <v>168</v>
      </c>
      <c r="H103" s="77" t="s">
        <v>169</v>
      </c>
      <c r="I103" s="77" t="s">
        <v>72</v>
      </c>
      <c r="J103" s="77" t="s">
        <v>23</v>
      </c>
      <c r="K103" s="77" t="s">
        <v>61</v>
      </c>
      <c r="L103" s="77" t="s">
        <v>17</v>
      </c>
      <c r="M103" s="77" t="s">
        <v>8</v>
      </c>
    </row>
    <row r="104" spans="1:13" ht="43.2">
      <c r="A104" s="74">
        <v>5</v>
      </c>
      <c r="B104" s="77" t="s">
        <v>91</v>
      </c>
      <c r="D104" s="77" t="s">
        <v>121</v>
      </c>
      <c r="G104" s="5" t="s">
        <v>170</v>
      </c>
      <c r="H104" s="77" t="s">
        <v>129</v>
      </c>
      <c r="I104" s="77" t="s">
        <v>70</v>
      </c>
      <c r="J104" s="77" t="s">
        <v>19</v>
      </c>
      <c r="K104" s="77" t="s">
        <v>67</v>
      </c>
      <c r="L104" s="77" t="s">
        <v>12</v>
      </c>
      <c r="M104" s="77" t="s">
        <v>8</v>
      </c>
    </row>
    <row r="105" spans="1:13" ht="43.2">
      <c r="A105" s="74">
        <v>5</v>
      </c>
      <c r="B105" s="77" t="s">
        <v>91</v>
      </c>
      <c r="D105" s="77" t="s">
        <v>121</v>
      </c>
      <c r="G105" s="5" t="s">
        <v>170</v>
      </c>
      <c r="H105" s="77" t="s">
        <v>129</v>
      </c>
      <c r="I105" s="77" t="s">
        <v>70</v>
      </c>
      <c r="J105" s="77" t="s">
        <v>19</v>
      </c>
      <c r="K105" s="77" t="s">
        <v>62</v>
      </c>
      <c r="L105" s="77" t="s">
        <v>12</v>
      </c>
      <c r="M105" s="77" t="s">
        <v>8</v>
      </c>
    </row>
    <row r="106" spans="1:13" ht="43.2">
      <c r="A106" s="74">
        <v>5</v>
      </c>
      <c r="B106" s="77" t="s">
        <v>91</v>
      </c>
      <c r="D106" s="77" t="s">
        <v>121</v>
      </c>
      <c r="G106" s="5" t="s">
        <v>170</v>
      </c>
      <c r="H106" s="77" t="s">
        <v>129</v>
      </c>
      <c r="I106" s="77" t="s">
        <v>70</v>
      </c>
      <c r="J106" s="77" t="s">
        <v>19</v>
      </c>
      <c r="K106" s="77" t="s">
        <v>61</v>
      </c>
      <c r="L106" s="77" t="s">
        <v>12</v>
      </c>
      <c r="M106" s="77" t="s">
        <v>8</v>
      </c>
    </row>
    <row r="107" spans="1:13" ht="28.8">
      <c r="A107" s="74">
        <v>5</v>
      </c>
      <c r="B107" s="77" t="s">
        <v>91</v>
      </c>
      <c r="D107" s="77" t="s">
        <v>121</v>
      </c>
      <c r="G107" s="5" t="s">
        <v>171</v>
      </c>
      <c r="H107" s="77" t="s">
        <v>150</v>
      </c>
      <c r="I107" s="77" t="s">
        <v>71</v>
      </c>
      <c r="J107" s="77" t="s">
        <v>28</v>
      </c>
      <c r="K107" s="77" t="s">
        <v>133</v>
      </c>
      <c r="L107" s="77" t="s">
        <v>17</v>
      </c>
      <c r="M107" s="77" t="s">
        <v>8</v>
      </c>
    </row>
    <row r="108" spans="1:13" ht="28.8">
      <c r="A108" s="74">
        <v>5</v>
      </c>
      <c r="B108" s="77" t="s">
        <v>91</v>
      </c>
      <c r="D108" s="77" t="s">
        <v>121</v>
      </c>
      <c r="G108" s="5" t="s">
        <v>171</v>
      </c>
      <c r="H108" s="77" t="s">
        <v>150</v>
      </c>
      <c r="I108" s="77" t="s">
        <v>71</v>
      </c>
      <c r="J108" s="77" t="s">
        <v>28</v>
      </c>
      <c r="K108" s="77" t="s">
        <v>56</v>
      </c>
      <c r="L108" s="77" t="s">
        <v>17</v>
      </c>
      <c r="M108" s="77" t="s">
        <v>8</v>
      </c>
    </row>
    <row r="109" spans="1:13" ht="28.8">
      <c r="A109" s="74">
        <v>5</v>
      </c>
      <c r="B109" s="77" t="s">
        <v>91</v>
      </c>
      <c r="D109" s="77" t="s">
        <v>121</v>
      </c>
      <c r="G109" s="5" t="s">
        <v>171</v>
      </c>
      <c r="H109" s="77" t="s">
        <v>150</v>
      </c>
      <c r="I109" s="77" t="s">
        <v>71</v>
      </c>
      <c r="J109" s="77" t="s">
        <v>28</v>
      </c>
      <c r="K109" s="77" t="s">
        <v>64</v>
      </c>
      <c r="L109" s="77" t="s">
        <v>17</v>
      </c>
      <c r="M109" s="77" t="s">
        <v>8</v>
      </c>
    </row>
    <row r="110" spans="1:13" ht="28.8">
      <c r="A110" s="74">
        <v>5</v>
      </c>
      <c r="B110" s="77" t="s">
        <v>91</v>
      </c>
      <c r="D110" s="77" t="s">
        <v>121</v>
      </c>
      <c r="G110" s="5" t="s">
        <v>172</v>
      </c>
      <c r="H110" s="77" t="s">
        <v>129</v>
      </c>
      <c r="I110" s="77" t="s">
        <v>70</v>
      </c>
      <c r="J110" s="77" t="s">
        <v>19</v>
      </c>
      <c r="K110" s="77" t="s">
        <v>67</v>
      </c>
      <c r="L110" s="77" t="s">
        <v>12</v>
      </c>
      <c r="M110" s="77" t="s">
        <v>8</v>
      </c>
    </row>
    <row r="111" spans="1:13" ht="28.8">
      <c r="A111" s="74">
        <v>5</v>
      </c>
      <c r="B111" s="77" t="s">
        <v>91</v>
      </c>
      <c r="D111" s="77" t="s">
        <v>121</v>
      </c>
      <c r="G111" s="5" t="s">
        <v>172</v>
      </c>
      <c r="H111" s="77" t="s">
        <v>129</v>
      </c>
      <c r="I111" s="77" t="s">
        <v>70</v>
      </c>
      <c r="J111" s="77" t="s">
        <v>19</v>
      </c>
      <c r="K111" s="77" t="s">
        <v>62</v>
      </c>
      <c r="L111" s="77" t="s">
        <v>12</v>
      </c>
      <c r="M111" s="77" t="s">
        <v>8</v>
      </c>
    </row>
    <row r="112" spans="1:13" ht="28.8">
      <c r="A112" s="74">
        <v>5</v>
      </c>
      <c r="B112" s="77" t="s">
        <v>91</v>
      </c>
      <c r="D112" s="77" t="s">
        <v>121</v>
      </c>
      <c r="G112" s="5" t="s">
        <v>172</v>
      </c>
      <c r="H112" s="77" t="s">
        <v>129</v>
      </c>
      <c r="I112" s="77" t="s">
        <v>70</v>
      </c>
      <c r="J112" s="77" t="s">
        <v>19</v>
      </c>
      <c r="K112" s="77" t="s">
        <v>61</v>
      </c>
      <c r="L112" s="77" t="s">
        <v>12</v>
      </c>
      <c r="M112" s="77" t="s">
        <v>8</v>
      </c>
    </row>
    <row r="113" spans="1:13" ht="28.8">
      <c r="A113" s="74">
        <v>5</v>
      </c>
      <c r="B113" s="77" t="s">
        <v>91</v>
      </c>
      <c r="D113" s="77" t="s">
        <v>121</v>
      </c>
      <c r="G113" s="5" t="s">
        <v>173</v>
      </c>
      <c r="H113" s="77" t="s">
        <v>129</v>
      </c>
      <c r="I113" s="77" t="s">
        <v>70</v>
      </c>
      <c r="J113" s="77" t="s">
        <v>19</v>
      </c>
      <c r="K113" s="77" t="s">
        <v>67</v>
      </c>
      <c r="L113" s="77" t="s">
        <v>12</v>
      </c>
      <c r="M113" s="77" t="s">
        <v>8</v>
      </c>
    </row>
    <row r="114" spans="1:13" ht="28.8">
      <c r="A114" s="74">
        <v>5</v>
      </c>
      <c r="B114" s="77" t="s">
        <v>91</v>
      </c>
      <c r="D114" s="77" t="s">
        <v>121</v>
      </c>
      <c r="G114" s="5" t="s">
        <v>173</v>
      </c>
      <c r="H114" s="77" t="s">
        <v>129</v>
      </c>
      <c r="I114" s="77" t="s">
        <v>70</v>
      </c>
      <c r="J114" s="77" t="s">
        <v>19</v>
      </c>
      <c r="K114" s="77" t="s">
        <v>62</v>
      </c>
      <c r="L114" s="77" t="s">
        <v>12</v>
      </c>
      <c r="M114" s="77" t="s">
        <v>8</v>
      </c>
    </row>
    <row r="115" spans="1:13" ht="28.8">
      <c r="A115" s="74">
        <v>5</v>
      </c>
      <c r="B115" s="77" t="s">
        <v>91</v>
      </c>
      <c r="D115" s="77" t="s">
        <v>121</v>
      </c>
      <c r="G115" s="5" t="s">
        <v>173</v>
      </c>
      <c r="H115" s="77" t="s">
        <v>129</v>
      </c>
      <c r="I115" s="77" t="s">
        <v>70</v>
      </c>
      <c r="J115" s="77" t="s">
        <v>19</v>
      </c>
      <c r="K115" s="77" t="s">
        <v>61</v>
      </c>
      <c r="L115" s="77" t="s">
        <v>12</v>
      </c>
      <c r="M115" s="77" t="s">
        <v>8</v>
      </c>
    </row>
    <row r="116" spans="1:13" ht="28.8">
      <c r="A116" s="74">
        <v>18</v>
      </c>
      <c r="B116" s="77" t="s">
        <v>115</v>
      </c>
      <c r="D116" s="77" t="s">
        <v>121</v>
      </c>
      <c r="G116" s="5" t="s">
        <v>174</v>
      </c>
      <c r="H116" s="77" t="s">
        <v>55</v>
      </c>
      <c r="I116" s="77" t="s">
        <v>56</v>
      </c>
      <c r="J116" s="77" t="s">
        <v>30</v>
      </c>
      <c r="K116" s="77" t="s">
        <v>56</v>
      </c>
      <c r="L116" s="77" t="s">
        <v>17</v>
      </c>
      <c r="M116" s="77" t="s">
        <v>8</v>
      </c>
    </row>
    <row r="117" spans="1:13" ht="28.8">
      <c r="A117" s="74">
        <v>18</v>
      </c>
      <c r="B117" s="77" t="s">
        <v>115</v>
      </c>
      <c r="D117" s="77" t="s">
        <v>121</v>
      </c>
      <c r="G117" s="5" t="s">
        <v>174</v>
      </c>
      <c r="H117" s="77" t="s">
        <v>55</v>
      </c>
      <c r="I117" s="77" t="s">
        <v>56</v>
      </c>
      <c r="J117" s="77" t="s">
        <v>30</v>
      </c>
      <c r="K117" s="77" t="s">
        <v>64</v>
      </c>
      <c r="L117" s="77" t="s">
        <v>17</v>
      </c>
      <c r="M117" s="77" t="s">
        <v>8</v>
      </c>
    </row>
    <row r="118" spans="1:13" ht="28.8">
      <c r="A118" s="74">
        <v>18</v>
      </c>
      <c r="B118" s="77" t="s">
        <v>115</v>
      </c>
      <c r="D118" s="77" t="s">
        <v>121</v>
      </c>
      <c r="G118" s="5" t="s">
        <v>174</v>
      </c>
      <c r="H118" s="77" t="s">
        <v>55</v>
      </c>
      <c r="I118" s="77" t="s">
        <v>56</v>
      </c>
      <c r="J118" s="77" t="s">
        <v>30</v>
      </c>
      <c r="K118" s="77" t="s">
        <v>63</v>
      </c>
      <c r="L118" s="77" t="s">
        <v>17</v>
      </c>
      <c r="M118" s="77" t="s">
        <v>8</v>
      </c>
    </row>
    <row r="119" spans="1:13" ht="28.8">
      <c r="A119" s="74">
        <v>18</v>
      </c>
      <c r="B119" s="77" t="s">
        <v>115</v>
      </c>
      <c r="D119" s="77" t="s">
        <v>121</v>
      </c>
      <c r="G119" s="5" t="s">
        <v>175</v>
      </c>
      <c r="H119" s="77" t="s">
        <v>138</v>
      </c>
      <c r="I119" s="77" t="s">
        <v>69</v>
      </c>
      <c r="J119" s="77" t="s">
        <v>10</v>
      </c>
      <c r="K119" s="77" t="s">
        <v>61</v>
      </c>
      <c r="L119" s="77" t="s">
        <v>12</v>
      </c>
      <c r="M119" s="77" t="s">
        <v>8</v>
      </c>
    </row>
    <row r="120" spans="1:13" ht="28.8">
      <c r="A120" s="74">
        <v>18</v>
      </c>
      <c r="B120" s="77" t="s">
        <v>115</v>
      </c>
      <c r="D120" s="77" t="s">
        <v>121</v>
      </c>
      <c r="G120" s="5" t="s">
        <v>175</v>
      </c>
      <c r="H120" s="77" t="s">
        <v>138</v>
      </c>
      <c r="I120" s="77" t="s">
        <v>69</v>
      </c>
      <c r="J120" s="77" t="s">
        <v>10</v>
      </c>
      <c r="K120" s="77" t="s">
        <v>63</v>
      </c>
      <c r="L120" s="77" t="s">
        <v>12</v>
      </c>
      <c r="M120" s="77" t="s">
        <v>8</v>
      </c>
    </row>
    <row r="121" spans="1:13" ht="28.8">
      <c r="A121" s="74">
        <v>18</v>
      </c>
      <c r="B121" s="77" t="s">
        <v>115</v>
      </c>
      <c r="D121" s="77" t="s">
        <v>121</v>
      </c>
      <c r="G121" s="5" t="s">
        <v>175</v>
      </c>
      <c r="H121" s="77" t="s">
        <v>138</v>
      </c>
      <c r="I121" s="77" t="s">
        <v>69</v>
      </c>
      <c r="J121" s="77" t="s">
        <v>10</v>
      </c>
      <c r="K121" s="77" t="s">
        <v>64</v>
      </c>
      <c r="L121" s="77" t="s">
        <v>12</v>
      </c>
      <c r="M121" s="77" t="s">
        <v>8</v>
      </c>
    </row>
    <row r="122" spans="1:13" ht="28.8">
      <c r="A122" s="74">
        <v>18</v>
      </c>
      <c r="B122" s="77" t="s">
        <v>115</v>
      </c>
      <c r="D122" s="77" t="s">
        <v>121</v>
      </c>
      <c r="G122" s="5" t="s">
        <v>176</v>
      </c>
      <c r="H122" s="77" t="s">
        <v>55</v>
      </c>
      <c r="I122" s="77" t="s">
        <v>56</v>
      </c>
      <c r="J122" s="77" t="s">
        <v>30</v>
      </c>
      <c r="K122" s="77" t="s">
        <v>56</v>
      </c>
      <c r="L122" s="77" t="s">
        <v>17</v>
      </c>
      <c r="M122" s="77" t="s">
        <v>8</v>
      </c>
    </row>
    <row r="123" spans="1:13" ht="28.8">
      <c r="A123" s="74">
        <v>18</v>
      </c>
      <c r="B123" s="77" t="s">
        <v>115</v>
      </c>
      <c r="D123" s="77" t="s">
        <v>121</v>
      </c>
      <c r="G123" s="5" t="s">
        <v>176</v>
      </c>
      <c r="H123" s="77" t="s">
        <v>55</v>
      </c>
      <c r="I123" s="77" t="s">
        <v>56</v>
      </c>
      <c r="J123" s="77" t="s">
        <v>30</v>
      </c>
      <c r="K123" s="77" t="s">
        <v>64</v>
      </c>
      <c r="L123" s="77" t="s">
        <v>17</v>
      </c>
      <c r="M123" s="77" t="s">
        <v>8</v>
      </c>
    </row>
    <row r="124" spans="1:13" ht="28.8">
      <c r="A124" s="74">
        <v>18</v>
      </c>
      <c r="B124" s="77" t="s">
        <v>115</v>
      </c>
      <c r="D124" s="77" t="s">
        <v>121</v>
      </c>
      <c r="G124" s="5" t="s">
        <v>176</v>
      </c>
      <c r="H124" s="77" t="s">
        <v>55</v>
      </c>
      <c r="I124" s="77" t="s">
        <v>56</v>
      </c>
      <c r="J124" s="77" t="s">
        <v>30</v>
      </c>
      <c r="K124" s="77" t="s">
        <v>63</v>
      </c>
      <c r="L124" s="77" t="s">
        <v>17</v>
      </c>
      <c r="M124" s="77" t="s">
        <v>8</v>
      </c>
    </row>
    <row r="125" spans="1:13" ht="28.8">
      <c r="A125" s="74">
        <v>18</v>
      </c>
      <c r="B125" s="77" t="s">
        <v>115</v>
      </c>
      <c r="D125" s="77" t="s">
        <v>121</v>
      </c>
      <c r="G125" s="5" t="s">
        <v>177</v>
      </c>
      <c r="H125" s="77" t="s">
        <v>150</v>
      </c>
      <c r="I125" s="77" t="s">
        <v>71</v>
      </c>
      <c r="J125" s="77" t="s">
        <v>28</v>
      </c>
      <c r="K125" s="77" t="s">
        <v>133</v>
      </c>
      <c r="L125" s="77" t="s">
        <v>17</v>
      </c>
      <c r="M125" s="77" t="s">
        <v>8</v>
      </c>
    </row>
    <row r="126" spans="1:13" ht="28.8">
      <c r="A126" s="74">
        <v>18</v>
      </c>
      <c r="B126" s="77" t="s">
        <v>115</v>
      </c>
      <c r="D126" s="77" t="s">
        <v>121</v>
      </c>
      <c r="G126" s="5" t="s">
        <v>177</v>
      </c>
      <c r="H126" s="77" t="s">
        <v>150</v>
      </c>
      <c r="I126" s="77" t="s">
        <v>71</v>
      </c>
      <c r="J126" s="77" t="s">
        <v>28</v>
      </c>
      <c r="K126" s="77" t="s">
        <v>56</v>
      </c>
      <c r="L126" s="77" t="s">
        <v>17</v>
      </c>
      <c r="M126" s="77" t="s">
        <v>8</v>
      </c>
    </row>
    <row r="127" spans="1:13" ht="28.8">
      <c r="A127" s="74">
        <v>18</v>
      </c>
      <c r="B127" s="77" t="s">
        <v>115</v>
      </c>
      <c r="D127" s="77" t="s">
        <v>121</v>
      </c>
      <c r="G127" s="5" t="s">
        <v>177</v>
      </c>
      <c r="H127" s="77" t="s">
        <v>150</v>
      </c>
      <c r="I127" s="77" t="s">
        <v>71</v>
      </c>
      <c r="J127" s="77" t="s">
        <v>28</v>
      </c>
      <c r="K127" s="77" t="s">
        <v>64</v>
      </c>
      <c r="L127" s="77" t="s">
        <v>17</v>
      </c>
      <c r="M127" s="77" t="s">
        <v>8</v>
      </c>
    </row>
    <row r="128" spans="1:13" ht="28.8">
      <c r="A128" s="74">
        <v>18</v>
      </c>
      <c r="B128" s="77" t="s">
        <v>115</v>
      </c>
      <c r="D128" s="77" t="s">
        <v>121</v>
      </c>
      <c r="G128" s="5" t="s">
        <v>178</v>
      </c>
      <c r="H128" s="77" t="s">
        <v>55</v>
      </c>
      <c r="I128" s="77" t="s">
        <v>56</v>
      </c>
      <c r="J128" s="77" t="s">
        <v>30</v>
      </c>
      <c r="K128" s="77" t="s">
        <v>56</v>
      </c>
      <c r="L128" s="77" t="s">
        <v>17</v>
      </c>
      <c r="M128" s="77" t="s">
        <v>8</v>
      </c>
    </row>
    <row r="129" spans="1:13" ht="28.8">
      <c r="A129" s="74">
        <v>18</v>
      </c>
      <c r="B129" s="77" t="s">
        <v>115</v>
      </c>
      <c r="D129" s="77" t="s">
        <v>121</v>
      </c>
      <c r="G129" s="5" t="s">
        <v>178</v>
      </c>
      <c r="H129" s="77" t="s">
        <v>55</v>
      </c>
      <c r="I129" s="77" t="s">
        <v>56</v>
      </c>
      <c r="J129" s="77" t="s">
        <v>30</v>
      </c>
      <c r="K129" s="77" t="s">
        <v>64</v>
      </c>
      <c r="L129" s="77" t="s">
        <v>17</v>
      </c>
      <c r="M129" s="77" t="s">
        <v>8</v>
      </c>
    </row>
    <row r="130" spans="1:13" ht="28.8">
      <c r="A130" s="74">
        <v>18</v>
      </c>
      <c r="B130" s="77" t="s">
        <v>115</v>
      </c>
      <c r="D130" s="77" t="s">
        <v>121</v>
      </c>
      <c r="G130" s="5" t="s">
        <v>178</v>
      </c>
      <c r="H130" s="77" t="s">
        <v>55</v>
      </c>
      <c r="I130" s="77" t="s">
        <v>56</v>
      </c>
      <c r="J130" s="77" t="s">
        <v>30</v>
      </c>
      <c r="K130" s="77" t="s">
        <v>63</v>
      </c>
      <c r="L130" s="77" t="s">
        <v>17</v>
      </c>
      <c r="M130" s="77" t="s">
        <v>8</v>
      </c>
    </row>
    <row r="131" spans="1:13" ht="28.8">
      <c r="A131" s="74">
        <v>18</v>
      </c>
      <c r="B131" s="77" t="s">
        <v>115</v>
      </c>
      <c r="D131" s="77" t="s">
        <v>121</v>
      </c>
      <c r="G131" s="5" t="s">
        <v>179</v>
      </c>
      <c r="H131" s="77" t="s">
        <v>55</v>
      </c>
      <c r="I131" s="77" t="s">
        <v>56</v>
      </c>
      <c r="J131" s="77" t="s">
        <v>30</v>
      </c>
      <c r="K131" s="77" t="s">
        <v>56</v>
      </c>
      <c r="L131" s="77" t="s">
        <v>17</v>
      </c>
      <c r="M131" s="77" t="s">
        <v>8</v>
      </c>
    </row>
    <row r="132" spans="1:13" ht="28.8">
      <c r="A132" s="74">
        <v>18</v>
      </c>
      <c r="B132" s="77" t="s">
        <v>115</v>
      </c>
      <c r="D132" s="77" t="s">
        <v>121</v>
      </c>
      <c r="G132" s="5" t="s">
        <v>179</v>
      </c>
      <c r="H132" s="77" t="s">
        <v>55</v>
      </c>
      <c r="I132" s="77" t="s">
        <v>56</v>
      </c>
      <c r="J132" s="77" t="s">
        <v>30</v>
      </c>
      <c r="K132" s="77" t="s">
        <v>64</v>
      </c>
      <c r="L132" s="77" t="s">
        <v>17</v>
      </c>
      <c r="M132" s="77" t="s">
        <v>8</v>
      </c>
    </row>
    <row r="133" spans="1:13" ht="28.8">
      <c r="A133" s="74">
        <v>18</v>
      </c>
      <c r="B133" s="77" t="s">
        <v>115</v>
      </c>
      <c r="D133" s="77" t="s">
        <v>121</v>
      </c>
      <c r="G133" s="5" t="s">
        <v>179</v>
      </c>
      <c r="H133" s="77" t="s">
        <v>55</v>
      </c>
      <c r="I133" s="77" t="s">
        <v>56</v>
      </c>
      <c r="J133" s="77" t="s">
        <v>30</v>
      </c>
      <c r="K133" s="77" t="s">
        <v>63</v>
      </c>
      <c r="L133" s="77" t="s">
        <v>17</v>
      </c>
      <c r="M133" s="77" t="s">
        <v>8</v>
      </c>
    </row>
    <row r="134" spans="1:13">
      <c r="A134" s="74">
        <v>18</v>
      </c>
      <c r="B134" s="77" t="s">
        <v>115</v>
      </c>
      <c r="D134" s="77" t="s">
        <v>121</v>
      </c>
      <c r="G134" s="5" t="s">
        <v>180</v>
      </c>
      <c r="H134" s="77" t="s">
        <v>150</v>
      </c>
      <c r="I134" s="77" t="s">
        <v>71</v>
      </c>
      <c r="J134" s="77" t="s">
        <v>28</v>
      </c>
      <c r="K134" s="77" t="s">
        <v>133</v>
      </c>
      <c r="L134" s="77" t="s">
        <v>17</v>
      </c>
      <c r="M134" s="77" t="s">
        <v>8</v>
      </c>
    </row>
    <row r="135" spans="1:13">
      <c r="A135" s="74">
        <v>18</v>
      </c>
      <c r="B135" s="77" t="s">
        <v>115</v>
      </c>
      <c r="D135" s="77" t="s">
        <v>121</v>
      </c>
      <c r="G135" s="5" t="s">
        <v>180</v>
      </c>
      <c r="H135" s="77" t="s">
        <v>150</v>
      </c>
      <c r="I135" s="77" t="s">
        <v>71</v>
      </c>
      <c r="J135" s="77" t="s">
        <v>28</v>
      </c>
      <c r="K135" s="77" t="s">
        <v>56</v>
      </c>
      <c r="L135" s="77" t="s">
        <v>17</v>
      </c>
      <c r="M135" s="77" t="s">
        <v>8</v>
      </c>
    </row>
    <row r="136" spans="1:13">
      <c r="A136" s="74">
        <v>18</v>
      </c>
      <c r="B136" s="77" t="s">
        <v>115</v>
      </c>
      <c r="D136" s="77" t="s">
        <v>121</v>
      </c>
      <c r="G136" s="5" t="s">
        <v>180</v>
      </c>
      <c r="H136" s="77" t="s">
        <v>150</v>
      </c>
      <c r="I136" s="77" t="s">
        <v>71</v>
      </c>
      <c r="J136" s="77" t="s">
        <v>28</v>
      </c>
      <c r="K136" s="77" t="s">
        <v>64</v>
      </c>
      <c r="L136" s="77" t="s">
        <v>17</v>
      </c>
      <c r="M136" s="77" t="s">
        <v>8</v>
      </c>
    </row>
    <row r="137" spans="1:13">
      <c r="A137" s="74">
        <v>18</v>
      </c>
      <c r="B137" s="77" t="s">
        <v>115</v>
      </c>
      <c r="D137" s="77" t="s">
        <v>121</v>
      </c>
      <c r="G137" s="5" t="s">
        <v>181</v>
      </c>
      <c r="H137" s="77" t="s">
        <v>55</v>
      </c>
      <c r="I137" s="77" t="s">
        <v>56</v>
      </c>
      <c r="J137" s="77" t="s">
        <v>30</v>
      </c>
      <c r="K137" s="77" t="s">
        <v>56</v>
      </c>
      <c r="L137" s="77" t="s">
        <v>17</v>
      </c>
      <c r="M137" s="77" t="s">
        <v>8</v>
      </c>
    </row>
    <row r="138" spans="1:13">
      <c r="A138" s="74">
        <v>18</v>
      </c>
      <c r="B138" s="77" t="s">
        <v>115</v>
      </c>
      <c r="D138" s="77" t="s">
        <v>121</v>
      </c>
      <c r="G138" s="5" t="s">
        <v>181</v>
      </c>
      <c r="H138" s="77" t="s">
        <v>55</v>
      </c>
      <c r="I138" s="77" t="s">
        <v>56</v>
      </c>
      <c r="J138" s="77" t="s">
        <v>30</v>
      </c>
      <c r="K138" s="77" t="s">
        <v>64</v>
      </c>
      <c r="L138" s="77" t="s">
        <v>17</v>
      </c>
      <c r="M138" s="77" t="s">
        <v>8</v>
      </c>
    </row>
    <row r="139" spans="1:13">
      <c r="A139" s="74">
        <v>18</v>
      </c>
      <c r="B139" s="77" t="s">
        <v>115</v>
      </c>
      <c r="D139" s="77" t="s">
        <v>121</v>
      </c>
      <c r="G139" s="5" t="s">
        <v>181</v>
      </c>
      <c r="H139" s="77" t="s">
        <v>55</v>
      </c>
      <c r="I139" s="77" t="s">
        <v>56</v>
      </c>
      <c r="J139" s="77" t="s">
        <v>30</v>
      </c>
      <c r="K139" s="77" t="s">
        <v>63</v>
      </c>
      <c r="L139" s="77" t="s">
        <v>17</v>
      </c>
      <c r="M139" s="77" t="s">
        <v>8</v>
      </c>
    </row>
    <row r="140" spans="1:13">
      <c r="A140" s="74">
        <v>18</v>
      </c>
      <c r="B140" s="77" t="s">
        <v>115</v>
      </c>
      <c r="D140" s="77" t="s">
        <v>121</v>
      </c>
      <c r="G140" s="5" t="s">
        <v>182</v>
      </c>
      <c r="H140" s="77" t="s">
        <v>55</v>
      </c>
      <c r="I140" s="77" t="s">
        <v>56</v>
      </c>
      <c r="J140" s="77" t="s">
        <v>30</v>
      </c>
      <c r="K140" s="77" t="s">
        <v>56</v>
      </c>
      <c r="L140" s="77" t="s">
        <v>17</v>
      </c>
      <c r="M140" s="77" t="s">
        <v>8</v>
      </c>
    </row>
    <row r="141" spans="1:13">
      <c r="A141" s="74">
        <v>18</v>
      </c>
      <c r="B141" s="77" t="s">
        <v>115</v>
      </c>
      <c r="D141" s="77" t="s">
        <v>121</v>
      </c>
      <c r="G141" s="5" t="s">
        <v>182</v>
      </c>
      <c r="H141" s="77" t="s">
        <v>55</v>
      </c>
      <c r="I141" s="77" t="s">
        <v>56</v>
      </c>
      <c r="J141" s="77" t="s">
        <v>30</v>
      </c>
      <c r="K141" s="77" t="s">
        <v>64</v>
      </c>
      <c r="L141" s="77" t="s">
        <v>17</v>
      </c>
      <c r="M141" s="77" t="s">
        <v>8</v>
      </c>
    </row>
    <row r="142" spans="1:13">
      <c r="A142" s="74">
        <v>18</v>
      </c>
      <c r="B142" s="77" t="s">
        <v>115</v>
      </c>
      <c r="D142" s="77" t="s">
        <v>121</v>
      </c>
      <c r="G142" s="5" t="s">
        <v>182</v>
      </c>
      <c r="H142" s="77" t="s">
        <v>55</v>
      </c>
      <c r="I142" s="77" t="s">
        <v>56</v>
      </c>
      <c r="J142" s="77" t="s">
        <v>30</v>
      </c>
      <c r="K142" s="77" t="s">
        <v>63</v>
      </c>
      <c r="L142" s="77" t="s">
        <v>17</v>
      </c>
      <c r="M142" s="77" t="s">
        <v>8</v>
      </c>
    </row>
    <row r="143" spans="1:13">
      <c r="A143" s="74">
        <v>18</v>
      </c>
      <c r="B143" s="77" t="s">
        <v>115</v>
      </c>
      <c r="D143" s="77" t="s">
        <v>121</v>
      </c>
      <c r="G143" s="5" t="s">
        <v>183</v>
      </c>
      <c r="H143" s="77" t="s">
        <v>132</v>
      </c>
      <c r="I143" s="77" t="s">
        <v>71</v>
      </c>
      <c r="J143" s="77" t="s">
        <v>30</v>
      </c>
      <c r="K143" s="77" t="s">
        <v>133</v>
      </c>
      <c r="L143" s="77" t="s">
        <v>17</v>
      </c>
      <c r="M143" s="77" t="s">
        <v>8</v>
      </c>
    </row>
    <row r="144" spans="1:13">
      <c r="A144" s="74">
        <v>18</v>
      </c>
      <c r="B144" s="77" t="s">
        <v>115</v>
      </c>
      <c r="D144" s="77" t="s">
        <v>121</v>
      </c>
      <c r="G144" s="5" t="s">
        <v>183</v>
      </c>
      <c r="H144" s="77" t="s">
        <v>132</v>
      </c>
      <c r="I144" s="77" t="s">
        <v>71</v>
      </c>
      <c r="J144" s="77" t="s">
        <v>30</v>
      </c>
      <c r="K144" s="77" t="s">
        <v>56</v>
      </c>
      <c r="L144" s="77" t="s">
        <v>17</v>
      </c>
      <c r="M144" s="77" t="s">
        <v>8</v>
      </c>
    </row>
    <row r="145" spans="1:13">
      <c r="A145" s="74">
        <v>18</v>
      </c>
      <c r="B145" s="77" t="s">
        <v>115</v>
      </c>
      <c r="D145" s="77" t="s">
        <v>121</v>
      </c>
      <c r="G145" s="5" t="s">
        <v>183</v>
      </c>
      <c r="H145" s="77" t="s">
        <v>132</v>
      </c>
      <c r="I145" s="77" t="s">
        <v>71</v>
      </c>
      <c r="J145" s="77" t="s">
        <v>30</v>
      </c>
      <c r="K145" s="77" t="s">
        <v>64</v>
      </c>
      <c r="L145" s="77" t="s">
        <v>17</v>
      </c>
      <c r="M145" s="77" t="s">
        <v>8</v>
      </c>
    </row>
    <row r="146" spans="1:13" ht="28.8">
      <c r="A146" s="74">
        <v>18</v>
      </c>
      <c r="B146" s="77" t="s">
        <v>115</v>
      </c>
      <c r="D146" s="77" t="s">
        <v>121</v>
      </c>
      <c r="G146" s="5" t="s">
        <v>184</v>
      </c>
      <c r="H146" s="77" t="s">
        <v>55</v>
      </c>
      <c r="I146" s="77" t="s">
        <v>56</v>
      </c>
      <c r="J146" s="77" t="s">
        <v>30</v>
      </c>
      <c r="K146" s="77" t="s">
        <v>56</v>
      </c>
      <c r="L146" s="77" t="s">
        <v>17</v>
      </c>
      <c r="M146" s="77" t="s">
        <v>8</v>
      </c>
    </row>
    <row r="147" spans="1:13" ht="28.8">
      <c r="A147" s="74">
        <v>18</v>
      </c>
      <c r="B147" s="77" t="s">
        <v>115</v>
      </c>
      <c r="D147" s="77" t="s">
        <v>121</v>
      </c>
      <c r="G147" s="5" t="s">
        <v>184</v>
      </c>
      <c r="H147" s="77" t="s">
        <v>55</v>
      </c>
      <c r="I147" s="77" t="s">
        <v>56</v>
      </c>
      <c r="J147" s="77" t="s">
        <v>30</v>
      </c>
      <c r="K147" s="77" t="s">
        <v>64</v>
      </c>
      <c r="L147" s="77" t="s">
        <v>17</v>
      </c>
      <c r="M147" s="77" t="s">
        <v>8</v>
      </c>
    </row>
    <row r="148" spans="1:13" ht="28.8">
      <c r="A148" s="74">
        <v>18</v>
      </c>
      <c r="B148" s="77" t="s">
        <v>115</v>
      </c>
      <c r="D148" s="77" t="s">
        <v>121</v>
      </c>
      <c r="G148" s="5" t="s">
        <v>184</v>
      </c>
      <c r="H148" s="77" t="s">
        <v>55</v>
      </c>
      <c r="I148" s="77" t="s">
        <v>56</v>
      </c>
      <c r="J148" s="77" t="s">
        <v>30</v>
      </c>
      <c r="K148" s="77" t="s">
        <v>63</v>
      </c>
      <c r="L148" s="77" t="s">
        <v>17</v>
      </c>
      <c r="M148" s="77" t="s">
        <v>8</v>
      </c>
    </row>
    <row r="149" spans="1:13">
      <c r="A149" s="74">
        <v>9</v>
      </c>
      <c r="B149" s="77" t="s">
        <v>99</v>
      </c>
      <c r="D149" s="77" t="s">
        <v>121</v>
      </c>
      <c r="G149" s="5" t="s">
        <v>185</v>
      </c>
      <c r="H149" s="77" t="s">
        <v>129</v>
      </c>
      <c r="I149" s="77" t="s">
        <v>70</v>
      </c>
      <c r="J149" s="77" t="s">
        <v>19</v>
      </c>
      <c r="K149" s="77" t="s">
        <v>67</v>
      </c>
      <c r="L149" s="77" t="s">
        <v>12</v>
      </c>
      <c r="M149" s="77" t="s">
        <v>8</v>
      </c>
    </row>
    <row r="150" spans="1:13">
      <c r="A150" s="74">
        <v>9</v>
      </c>
      <c r="B150" s="77" t="s">
        <v>99</v>
      </c>
      <c r="D150" s="77" t="s">
        <v>121</v>
      </c>
      <c r="G150" s="5" t="s">
        <v>185</v>
      </c>
      <c r="H150" s="77" t="s">
        <v>129</v>
      </c>
      <c r="I150" s="77" t="s">
        <v>70</v>
      </c>
      <c r="J150" s="77" t="s">
        <v>19</v>
      </c>
      <c r="K150" s="77" t="s">
        <v>62</v>
      </c>
      <c r="L150" s="77" t="s">
        <v>12</v>
      </c>
      <c r="M150" s="77" t="s">
        <v>8</v>
      </c>
    </row>
    <row r="151" spans="1:13">
      <c r="A151" s="74">
        <v>9</v>
      </c>
      <c r="B151" s="77" t="s">
        <v>99</v>
      </c>
      <c r="D151" s="77" t="s">
        <v>121</v>
      </c>
      <c r="G151" s="5" t="s">
        <v>185</v>
      </c>
      <c r="H151" s="77" t="s">
        <v>129</v>
      </c>
      <c r="I151" s="77" t="s">
        <v>70</v>
      </c>
      <c r="J151" s="77" t="s">
        <v>19</v>
      </c>
      <c r="K151" s="77" t="s">
        <v>61</v>
      </c>
      <c r="L151" s="77" t="s">
        <v>12</v>
      </c>
      <c r="M151" s="77" t="s">
        <v>8</v>
      </c>
    </row>
    <row r="152" spans="1:13">
      <c r="A152" s="74">
        <v>9</v>
      </c>
      <c r="B152" s="77" t="s">
        <v>99</v>
      </c>
      <c r="D152" s="77" t="s">
        <v>121</v>
      </c>
      <c r="G152" s="5" t="s">
        <v>186</v>
      </c>
      <c r="H152" s="77" t="s">
        <v>138</v>
      </c>
      <c r="I152" s="77" t="s">
        <v>69</v>
      </c>
      <c r="J152" s="77" t="s">
        <v>10</v>
      </c>
      <c r="K152" s="77" t="s">
        <v>61</v>
      </c>
      <c r="L152" s="77" t="s">
        <v>12</v>
      </c>
      <c r="M152" s="77" t="s">
        <v>8</v>
      </c>
    </row>
    <row r="153" spans="1:13">
      <c r="A153" s="74">
        <v>9</v>
      </c>
      <c r="B153" s="77" t="s">
        <v>99</v>
      </c>
      <c r="D153" s="77" t="s">
        <v>121</v>
      </c>
      <c r="G153" s="5" t="s">
        <v>186</v>
      </c>
      <c r="H153" s="77" t="s">
        <v>138</v>
      </c>
      <c r="I153" s="77" t="s">
        <v>69</v>
      </c>
      <c r="J153" s="77" t="s">
        <v>10</v>
      </c>
      <c r="K153" s="77" t="s">
        <v>63</v>
      </c>
      <c r="L153" s="77" t="s">
        <v>12</v>
      </c>
      <c r="M153" s="77" t="s">
        <v>8</v>
      </c>
    </row>
    <row r="154" spans="1:13">
      <c r="A154" s="74">
        <v>9</v>
      </c>
      <c r="B154" s="77" t="s">
        <v>99</v>
      </c>
      <c r="D154" s="77" t="s">
        <v>121</v>
      </c>
      <c r="G154" s="5" t="s">
        <v>186</v>
      </c>
      <c r="H154" s="77" t="s">
        <v>138</v>
      </c>
      <c r="I154" s="77" t="s">
        <v>69</v>
      </c>
      <c r="J154" s="77" t="s">
        <v>10</v>
      </c>
      <c r="K154" s="77" t="s">
        <v>64</v>
      </c>
      <c r="L154" s="77" t="s">
        <v>12</v>
      </c>
      <c r="M154" s="77" t="s">
        <v>8</v>
      </c>
    </row>
    <row r="155" spans="1:13">
      <c r="A155" s="74">
        <v>9</v>
      </c>
      <c r="B155" s="77" t="s">
        <v>99</v>
      </c>
      <c r="D155" s="77" t="s">
        <v>121</v>
      </c>
      <c r="G155" s="5" t="s">
        <v>187</v>
      </c>
      <c r="H155" s="77" t="s">
        <v>55</v>
      </c>
      <c r="I155" s="77" t="s">
        <v>56</v>
      </c>
      <c r="J155" s="77" t="s">
        <v>30</v>
      </c>
      <c r="K155" s="77" t="s">
        <v>56</v>
      </c>
      <c r="L155" s="77" t="s">
        <v>17</v>
      </c>
      <c r="M155" s="77" t="s">
        <v>8</v>
      </c>
    </row>
    <row r="156" spans="1:13">
      <c r="A156" s="74">
        <v>9</v>
      </c>
      <c r="B156" s="77" t="s">
        <v>99</v>
      </c>
      <c r="D156" s="77" t="s">
        <v>121</v>
      </c>
      <c r="G156" s="5" t="s">
        <v>187</v>
      </c>
      <c r="H156" s="77" t="s">
        <v>55</v>
      </c>
      <c r="I156" s="77" t="s">
        <v>56</v>
      </c>
      <c r="J156" s="77" t="s">
        <v>30</v>
      </c>
      <c r="K156" s="77" t="s">
        <v>64</v>
      </c>
      <c r="L156" s="77" t="s">
        <v>17</v>
      </c>
      <c r="M156" s="77" t="s">
        <v>8</v>
      </c>
    </row>
    <row r="157" spans="1:13">
      <c r="A157" s="74">
        <v>9</v>
      </c>
      <c r="B157" s="77" t="s">
        <v>99</v>
      </c>
      <c r="D157" s="77" t="s">
        <v>121</v>
      </c>
      <c r="G157" s="5" t="s">
        <v>187</v>
      </c>
      <c r="H157" s="77" t="s">
        <v>55</v>
      </c>
      <c r="I157" s="77" t="s">
        <v>56</v>
      </c>
      <c r="J157" s="77" t="s">
        <v>30</v>
      </c>
      <c r="K157" s="77" t="s">
        <v>63</v>
      </c>
      <c r="L157" s="77" t="s">
        <v>17</v>
      </c>
      <c r="M157" s="77" t="s">
        <v>8</v>
      </c>
    </row>
    <row r="158" spans="1:13">
      <c r="A158" s="74">
        <v>9</v>
      </c>
      <c r="B158" s="77" t="s">
        <v>99</v>
      </c>
      <c r="D158" s="77" t="s">
        <v>121</v>
      </c>
      <c r="G158" s="5" t="s">
        <v>188</v>
      </c>
      <c r="H158" s="77" t="s">
        <v>55</v>
      </c>
      <c r="I158" s="77" t="s">
        <v>56</v>
      </c>
      <c r="J158" s="77" t="s">
        <v>30</v>
      </c>
      <c r="K158" s="77" t="s">
        <v>56</v>
      </c>
      <c r="L158" s="77" t="s">
        <v>17</v>
      </c>
      <c r="M158" s="77" t="s">
        <v>8</v>
      </c>
    </row>
    <row r="159" spans="1:13">
      <c r="A159" s="74">
        <v>9</v>
      </c>
      <c r="B159" s="77" t="s">
        <v>99</v>
      </c>
      <c r="D159" s="77" t="s">
        <v>121</v>
      </c>
      <c r="G159" s="5" t="s">
        <v>188</v>
      </c>
      <c r="H159" s="77" t="s">
        <v>55</v>
      </c>
      <c r="I159" s="77" t="s">
        <v>56</v>
      </c>
      <c r="J159" s="77" t="s">
        <v>30</v>
      </c>
      <c r="K159" s="77" t="s">
        <v>64</v>
      </c>
      <c r="L159" s="77" t="s">
        <v>17</v>
      </c>
      <c r="M159" s="77" t="s">
        <v>8</v>
      </c>
    </row>
    <row r="160" spans="1:13">
      <c r="A160" s="74">
        <v>9</v>
      </c>
      <c r="B160" s="77" t="s">
        <v>99</v>
      </c>
      <c r="D160" s="77" t="s">
        <v>121</v>
      </c>
      <c r="G160" s="5" t="s">
        <v>188</v>
      </c>
      <c r="H160" s="77" t="s">
        <v>55</v>
      </c>
      <c r="I160" s="77" t="s">
        <v>56</v>
      </c>
      <c r="J160" s="77" t="s">
        <v>30</v>
      </c>
      <c r="K160" s="77" t="s">
        <v>63</v>
      </c>
      <c r="L160" s="77" t="s">
        <v>17</v>
      </c>
      <c r="M160" s="77" t="s">
        <v>8</v>
      </c>
    </row>
    <row r="161" spans="1:13">
      <c r="A161" s="74">
        <v>9</v>
      </c>
      <c r="B161" s="77" t="s">
        <v>99</v>
      </c>
      <c r="D161" s="77" t="s">
        <v>121</v>
      </c>
      <c r="G161" s="5" t="s">
        <v>189</v>
      </c>
      <c r="H161" s="77" t="s">
        <v>140</v>
      </c>
      <c r="I161" s="77" t="s">
        <v>141</v>
      </c>
      <c r="J161" s="77" t="s">
        <v>5</v>
      </c>
      <c r="K161" s="77" t="s">
        <v>63</v>
      </c>
      <c r="L161" s="77" t="s">
        <v>17</v>
      </c>
      <c r="M161" s="77" t="s">
        <v>8</v>
      </c>
    </row>
    <row r="162" spans="1:13">
      <c r="A162" s="74">
        <v>9</v>
      </c>
      <c r="B162" s="77" t="s">
        <v>99</v>
      </c>
      <c r="D162" s="77" t="s">
        <v>121</v>
      </c>
      <c r="G162" s="5" t="s">
        <v>189</v>
      </c>
      <c r="H162" s="77" t="s">
        <v>140</v>
      </c>
      <c r="I162" s="77" t="s">
        <v>141</v>
      </c>
      <c r="J162" s="77" t="s">
        <v>5</v>
      </c>
      <c r="K162" s="77" t="s">
        <v>56</v>
      </c>
      <c r="L162" s="77" t="s">
        <v>17</v>
      </c>
      <c r="M162" s="77" t="s">
        <v>8</v>
      </c>
    </row>
    <row r="163" spans="1:13">
      <c r="A163" s="74">
        <v>9</v>
      </c>
      <c r="B163" s="77" t="s">
        <v>99</v>
      </c>
      <c r="D163" s="77" t="s">
        <v>121</v>
      </c>
      <c r="G163" s="5" t="s">
        <v>189</v>
      </c>
      <c r="H163" s="77" t="s">
        <v>140</v>
      </c>
      <c r="I163" s="77" t="s">
        <v>141</v>
      </c>
      <c r="J163" s="77" t="s">
        <v>5</v>
      </c>
      <c r="K163" s="77" t="s">
        <v>64</v>
      </c>
      <c r="L163" s="77" t="s">
        <v>17</v>
      </c>
      <c r="M163" s="77" t="s">
        <v>8</v>
      </c>
    </row>
    <row r="164" spans="1:13">
      <c r="A164" s="74">
        <v>19</v>
      </c>
      <c r="B164" s="77" t="s">
        <v>190</v>
      </c>
      <c r="D164" s="77" t="s">
        <v>191</v>
      </c>
      <c r="G164" s="5" t="s">
        <v>192</v>
      </c>
      <c r="H164" s="77" t="s">
        <v>55</v>
      </c>
      <c r="I164" s="77" t="s">
        <v>56</v>
      </c>
      <c r="J164" s="77" t="s">
        <v>30</v>
      </c>
      <c r="K164" s="77" t="s">
        <v>56</v>
      </c>
      <c r="L164" s="77" t="s">
        <v>17</v>
      </c>
      <c r="M164" s="77" t="s">
        <v>8</v>
      </c>
    </row>
    <row r="165" spans="1:13">
      <c r="A165" s="74">
        <v>19</v>
      </c>
      <c r="B165" s="77" t="s">
        <v>190</v>
      </c>
      <c r="D165" s="77" t="s">
        <v>191</v>
      </c>
      <c r="G165" s="5" t="s">
        <v>192</v>
      </c>
      <c r="H165" s="77" t="s">
        <v>55</v>
      </c>
      <c r="I165" s="77" t="s">
        <v>56</v>
      </c>
      <c r="J165" s="77" t="s">
        <v>30</v>
      </c>
      <c r="K165" s="77" t="s">
        <v>64</v>
      </c>
      <c r="L165" s="77" t="s">
        <v>17</v>
      </c>
      <c r="M165" s="77" t="s">
        <v>8</v>
      </c>
    </row>
    <row r="166" spans="1:13">
      <c r="A166" s="74">
        <v>19</v>
      </c>
      <c r="B166" s="77" t="s">
        <v>190</v>
      </c>
      <c r="D166" s="77" t="s">
        <v>191</v>
      </c>
      <c r="G166" s="5" t="s">
        <v>192</v>
      </c>
      <c r="H166" s="77" t="s">
        <v>55</v>
      </c>
      <c r="I166" s="77" t="s">
        <v>56</v>
      </c>
      <c r="J166" s="77" t="s">
        <v>30</v>
      </c>
      <c r="K166" s="77" t="s">
        <v>63</v>
      </c>
      <c r="L166" s="77" t="s">
        <v>17</v>
      </c>
      <c r="M166" s="77" t="s">
        <v>8</v>
      </c>
    </row>
    <row r="167" spans="1:13">
      <c r="A167" s="74">
        <v>19</v>
      </c>
      <c r="B167" s="77" t="s">
        <v>190</v>
      </c>
      <c r="D167" s="77" t="s">
        <v>191</v>
      </c>
      <c r="G167" s="5" t="s">
        <v>193</v>
      </c>
      <c r="H167" s="77" t="s">
        <v>125</v>
      </c>
      <c r="I167" s="77" t="s">
        <v>126</v>
      </c>
      <c r="J167" s="77" t="s">
        <v>15</v>
      </c>
      <c r="K167" s="77" t="s">
        <v>62</v>
      </c>
      <c r="L167" s="77" t="s">
        <v>17</v>
      </c>
      <c r="M167" s="77" t="s">
        <v>8</v>
      </c>
    </row>
    <row r="168" spans="1:13">
      <c r="A168" s="74">
        <v>19</v>
      </c>
      <c r="B168" s="77" t="s">
        <v>190</v>
      </c>
      <c r="D168" s="77" t="s">
        <v>191</v>
      </c>
      <c r="G168" s="5" t="s">
        <v>193</v>
      </c>
      <c r="H168" s="77" t="s">
        <v>125</v>
      </c>
      <c r="I168" s="77" t="s">
        <v>126</v>
      </c>
      <c r="J168" s="77" t="s">
        <v>15</v>
      </c>
      <c r="K168" s="77" t="s">
        <v>63</v>
      </c>
      <c r="L168" s="77" t="s">
        <v>17</v>
      </c>
      <c r="M168" s="77" t="s">
        <v>8</v>
      </c>
    </row>
    <row r="169" spans="1:13">
      <c r="A169" s="74">
        <v>19</v>
      </c>
      <c r="B169" s="77" t="s">
        <v>190</v>
      </c>
      <c r="D169" s="77" t="s">
        <v>191</v>
      </c>
      <c r="G169" s="5" t="s">
        <v>193</v>
      </c>
      <c r="H169" s="77" t="s">
        <v>125</v>
      </c>
      <c r="I169" s="77" t="s">
        <v>126</v>
      </c>
      <c r="J169" s="77" t="s">
        <v>15</v>
      </c>
      <c r="K169" s="77" t="s">
        <v>65</v>
      </c>
      <c r="L169" s="77" t="s">
        <v>17</v>
      </c>
      <c r="M169" s="77" t="s">
        <v>8</v>
      </c>
    </row>
    <row r="170" spans="1:13" ht="28.8">
      <c r="A170" s="74">
        <v>19</v>
      </c>
      <c r="B170" s="77" t="s">
        <v>190</v>
      </c>
      <c r="D170" s="77" t="s">
        <v>191</v>
      </c>
      <c r="G170" s="5" t="s">
        <v>194</v>
      </c>
      <c r="H170" s="77" t="s">
        <v>55</v>
      </c>
      <c r="I170" s="77" t="s">
        <v>56</v>
      </c>
      <c r="J170" s="77" t="s">
        <v>30</v>
      </c>
      <c r="K170" s="77" t="s">
        <v>56</v>
      </c>
      <c r="L170" s="77" t="s">
        <v>17</v>
      </c>
      <c r="M170" s="77" t="s">
        <v>8</v>
      </c>
    </row>
    <row r="171" spans="1:13" ht="28.8">
      <c r="A171" s="74">
        <v>19</v>
      </c>
      <c r="B171" s="77" t="s">
        <v>190</v>
      </c>
      <c r="D171" s="77" t="s">
        <v>191</v>
      </c>
      <c r="G171" s="5" t="s">
        <v>194</v>
      </c>
      <c r="H171" s="77" t="s">
        <v>55</v>
      </c>
      <c r="I171" s="77" t="s">
        <v>56</v>
      </c>
      <c r="J171" s="77" t="s">
        <v>30</v>
      </c>
      <c r="K171" s="77" t="s">
        <v>64</v>
      </c>
      <c r="L171" s="77" t="s">
        <v>17</v>
      </c>
      <c r="M171" s="77" t="s">
        <v>8</v>
      </c>
    </row>
    <row r="172" spans="1:13" ht="28.8">
      <c r="A172" s="74">
        <v>19</v>
      </c>
      <c r="B172" s="77" t="s">
        <v>190</v>
      </c>
      <c r="D172" s="77" t="s">
        <v>191</v>
      </c>
      <c r="G172" s="5" t="s">
        <v>194</v>
      </c>
      <c r="H172" s="77" t="s">
        <v>55</v>
      </c>
      <c r="I172" s="77" t="s">
        <v>56</v>
      </c>
      <c r="J172" s="77" t="s">
        <v>30</v>
      </c>
      <c r="K172" s="77" t="s">
        <v>63</v>
      </c>
      <c r="L172" s="77" t="s">
        <v>17</v>
      </c>
      <c r="M172" s="77" t="s">
        <v>8</v>
      </c>
    </row>
    <row r="173" spans="1:13" ht="28.8">
      <c r="A173" s="74">
        <v>19</v>
      </c>
      <c r="B173" s="77" t="s">
        <v>190</v>
      </c>
      <c r="D173" s="77" t="s">
        <v>191</v>
      </c>
      <c r="G173" s="5" t="s">
        <v>195</v>
      </c>
      <c r="H173" s="77" t="s">
        <v>123</v>
      </c>
      <c r="I173" s="77" t="s">
        <v>69</v>
      </c>
      <c r="J173" s="77" t="s">
        <v>26</v>
      </c>
      <c r="K173" s="77" t="s">
        <v>67</v>
      </c>
      <c r="L173" s="77" t="s">
        <v>12</v>
      </c>
      <c r="M173" s="77" t="s">
        <v>8</v>
      </c>
    </row>
    <row r="174" spans="1:13" ht="28.8">
      <c r="A174" s="74">
        <v>19</v>
      </c>
      <c r="B174" s="77" t="s">
        <v>190</v>
      </c>
      <c r="D174" s="77" t="s">
        <v>191</v>
      </c>
      <c r="G174" s="5" t="s">
        <v>195</v>
      </c>
      <c r="H174" s="77" t="s">
        <v>123</v>
      </c>
      <c r="I174" s="77" t="s">
        <v>69</v>
      </c>
      <c r="J174" s="77" t="s">
        <v>26</v>
      </c>
      <c r="K174" s="77" t="s">
        <v>61</v>
      </c>
      <c r="L174" s="77" t="s">
        <v>12</v>
      </c>
      <c r="M174" s="77" t="s">
        <v>8</v>
      </c>
    </row>
    <row r="175" spans="1:13" ht="28.8">
      <c r="A175" s="74">
        <v>19</v>
      </c>
      <c r="B175" s="77" t="s">
        <v>190</v>
      </c>
      <c r="D175" s="77" t="s">
        <v>191</v>
      </c>
      <c r="G175" s="5" t="s">
        <v>195</v>
      </c>
      <c r="H175" s="77" t="s">
        <v>123</v>
      </c>
      <c r="I175" s="77" t="s">
        <v>69</v>
      </c>
      <c r="J175" s="77" t="s">
        <v>26</v>
      </c>
      <c r="K175" s="77" t="s">
        <v>62</v>
      </c>
      <c r="L175" s="77" t="s">
        <v>12</v>
      </c>
      <c r="M175" s="77" t="s">
        <v>8</v>
      </c>
    </row>
    <row r="176" spans="1:13" ht="28.8">
      <c r="A176" s="74">
        <v>19</v>
      </c>
      <c r="B176" s="77" t="s">
        <v>190</v>
      </c>
      <c r="D176" s="77" t="s">
        <v>191</v>
      </c>
      <c r="G176" s="5" t="s">
        <v>196</v>
      </c>
      <c r="H176" s="77" t="s">
        <v>55</v>
      </c>
      <c r="I176" s="77" t="s">
        <v>56</v>
      </c>
      <c r="J176" s="77" t="s">
        <v>30</v>
      </c>
      <c r="K176" s="77" t="s">
        <v>56</v>
      </c>
      <c r="L176" s="77" t="s">
        <v>17</v>
      </c>
      <c r="M176" s="77" t="s">
        <v>8</v>
      </c>
    </row>
    <row r="177" spans="1:13" ht="28.8">
      <c r="A177" s="74">
        <v>19</v>
      </c>
      <c r="B177" s="77" t="s">
        <v>190</v>
      </c>
      <c r="D177" s="77" t="s">
        <v>191</v>
      </c>
      <c r="G177" s="5" t="s">
        <v>196</v>
      </c>
      <c r="H177" s="77" t="s">
        <v>55</v>
      </c>
      <c r="I177" s="77" t="s">
        <v>56</v>
      </c>
      <c r="J177" s="77" t="s">
        <v>30</v>
      </c>
      <c r="K177" s="77" t="s">
        <v>64</v>
      </c>
      <c r="L177" s="77" t="s">
        <v>17</v>
      </c>
      <c r="M177" s="77" t="s">
        <v>8</v>
      </c>
    </row>
    <row r="178" spans="1:13" ht="28.8">
      <c r="A178" s="74">
        <v>19</v>
      </c>
      <c r="B178" s="77" t="s">
        <v>190</v>
      </c>
      <c r="D178" s="77" t="s">
        <v>191</v>
      </c>
      <c r="G178" s="5" t="s">
        <v>196</v>
      </c>
      <c r="H178" s="77" t="s">
        <v>55</v>
      </c>
      <c r="I178" s="77" t="s">
        <v>56</v>
      </c>
      <c r="J178" s="77" t="s">
        <v>30</v>
      </c>
      <c r="K178" s="77" t="s">
        <v>63</v>
      </c>
      <c r="L178" s="77" t="s">
        <v>17</v>
      </c>
      <c r="M178" s="77" t="s">
        <v>8</v>
      </c>
    </row>
    <row r="179" spans="1:13">
      <c r="A179" s="74">
        <v>19</v>
      </c>
      <c r="B179" s="77" t="s">
        <v>190</v>
      </c>
      <c r="D179" s="77" t="s">
        <v>191</v>
      </c>
      <c r="G179" s="5" t="s">
        <v>197</v>
      </c>
      <c r="H179" s="77" t="s">
        <v>55</v>
      </c>
      <c r="I179" s="77" t="s">
        <v>56</v>
      </c>
      <c r="J179" s="77" t="s">
        <v>30</v>
      </c>
      <c r="K179" s="77" t="s">
        <v>56</v>
      </c>
      <c r="L179" s="77" t="s">
        <v>17</v>
      </c>
      <c r="M179" s="77" t="s">
        <v>8</v>
      </c>
    </row>
    <row r="180" spans="1:13">
      <c r="A180" s="74">
        <v>19</v>
      </c>
      <c r="B180" s="77" t="s">
        <v>190</v>
      </c>
      <c r="D180" s="77" t="s">
        <v>191</v>
      </c>
      <c r="G180" s="5" t="s">
        <v>197</v>
      </c>
      <c r="H180" s="77" t="s">
        <v>55</v>
      </c>
      <c r="I180" s="77" t="s">
        <v>56</v>
      </c>
      <c r="J180" s="77" t="s">
        <v>30</v>
      </c>
      <c r="K180" s="77" t="s">
        <v>64</v>
      </c>
      <c r="L180" s="77" t="s">
        <v>17</v>
      </c>
      <c r="M180" s="77" t="s">
        <v>8</v>
      </c>
    </row>
    <row r="181" spans="1:13">
      <c r="A181" s="74">
        <v>19</v>
      </c>
      <c r="B181" s="77" t="s">
        <v>190</v>
      </c>
      <c r="D181" s="77" t="s">
        <v>191</v>
      </c>
      <c r="G181" s="5" t="s">
        <v>197</v>
      </c>
      <c r="H181" s="77" t="s">
        <v>55</v>
      </c>
      <c r="I181" s="77" t="s">
        <v>56</v>
      </c>
      <c r="J181" s="77" t="s">
        <v>30</v>
      </c>
      <c r="K181" s="77" t="s">
        <v>63</v>
      </c>
      <c r="L181" s="77" t="s">
        <v>17</v>
      </c>
      <c r="M181" s="77" t="s">
        <v>8</v>
      </c>
    </row>
    <row r="182" spans="1:13" ht="28.8">
      <c r="A182" s="74">
        <v>19</v>
      </c>
      <c r="B182" s="77" t="s">
        <v>190</v>
      </c>
      <c r="D182" s="77" t="s">
        <v>191</v>
      </c>
      <c r="G182" s="5" t="s">
        <v>198</v>
      </c>
      <c r="H182" s="77" t="s">
        <v>55</v>
      </c>
      <c r="I182" s="77" t="s">
        <v>56</v>
      </c>
      <c r="J182" s="77" t="s">
        <v>30</v>
      </c>
      <c r="K182" s="77" t="s">
        <v>56</v>
      </c>
      <c r="L182" s="77" t="s">
        <v>17</v>
      </c>
      <c r="M182" s="77" t="s">
        <v>8</v>
      </c>
    </row>
    <row r="183" spans="1:13" ht="28.8">
      <c r="A183" s="74">
        <v>19</v>
      </c>
      <c r="B183" s="77" t="s">
        <v>190</v>
      </c>
      <c r="D183" s="77" t="s">
        <v>191</v>
      </c>
      <c r="G183" s="5" t="s">
        <v>198</v>
      </c>
      <c r="H183" s="77" t="s">
        <v>55</v>
      </c>
      <c r="I183" s="77" t="s">
        <v>56</v>
      </c>
      <c r="J183" s="77" t="s">
        <v>30</v>
      </c>
      <c r="K183" s="77" t="s">
        <v>64</v>
      </c>
      <c r="L183" s="77" t="s">
        <v>17</v>
      </c>
      <c r="M183" s="77" t="s">
        <v>8</v>
      </c>
    </row>
    <row r="184" spans="1:13" ht="28.8">
      <c r="A184" s="74">
        <v>19</v>
      </c>
      <c r="B184" s="77" t="s">
        <v>190</v>
      </c>
      <c r="D184" s="77" t="s">
        <v>191</v>
      </c>
      <c r="G184" s="5" t="s">
        <v>198</v>
      </c>
      <c r="H184" s="77" t="s">
        <v>55</v>
      </c>
      <c r="I184" s="77" t="s">
        <v>56</v>
      </c>
      <c r="J184" s="77" t="s">
        <v>30</v>
      </c>
      <c r="K184" s="77" t="s">
        <v>63</v>
      </c>
      <c r="L184" s="77" t="s">
        <v>17</v>
      </c>
      <c r="M184" s="77" t="s">
        <v>8</v>
      </c>
    </row>
    <row r="185" spans="1:13">
      <c r="A185" s="74">
        <v>15</v>
      </c>
      <c r="B185" s="77" t="s">
        <v>111</v>
      </c>
      <c r="D185" s="77" t="s">
        <v>199</v>
      </c>
      <c r="G185" s="5" t="s">
        <v>200</v>
      </c>
      <c r="H185" s="77" t="s">
        <v>55</v>
      </c>
      <c r="I185" s="77" t="s">
        <v>56</v>
      </c>
      <c r="J185" s="77" t="s">
        <v>30</v>
      </c>
      <c r="K185" s="77" t="s">
        <v>56</v>
      </c>
      <c r="L185" s="77" t="s">
        <v>17</v>
      </c>
      <c r="M185" s="77" t="s">
        <v>8</v>
      </c>
    </row>
    <row r="186" spans="1:13">
      <c r="A186" s="74">
        <v>15</v>
      </c>
      <c r="B186" s="77" t="s">
        <v>111</v>
      </c>
      <c r="D186" s="77" t="s">
        <v>199</v>
      </c>
      <c r="G186" s="5" t="s">
        <v>200</v>
      </c>
      <c r="H186" s="77" t="s">
        <v>55</v>
      </c>
      <c r="I186" s="77" t="s">
        <v>56</v>
      </c>
      <c r="J186" s="77" t="s">
        <v>30</v>
      </c>
      <c r="K186" s="77" t="s">
        <v>64</v>
      </c>
      <c r="L186" s="77" t="s">
        <v>17</v>
      </c>
      <c r="M186" s="77" t="s">
        <v>8</v>
      </c>
    </row>
    <row r="187" spans="1:13">
      <c r="A187" s="74">
        <v>15</v>
      </c>
      <c r="B187" s="77" t="s">
        <v>111</v>
      </c>
      <c r="D187" s="77" t="s">
        <v>199</v>
      </c>
      <c r="G187" s="5" t="s">
        <v>200</v>
      </c>
      <c r="H187" s="77" t="s">
        <v>55</v>
      </c>
      <c r="I187" s="77" t="s">
        <v>56</v>
      </c>
      <c r="J187" s="77" t="s">
        <v>30</v>
      </c>
      <c r="K187" s="77" t="s">
        <v>63</v>
      </c>
      <c r="L187" s="77" t="s">
        <v>17</v>
      </c>
      <c r="M187" s="77" t="s">
        <v>8</v>
      </c>
    </row>
    <row r="188" spans="1:13">
      <c r="A188" s="74">
        <v>15</v>
      </c>
      <c r="B188" s="77" t="s">
        <v>111</v>
      </c>
      <c r="D188" s="77" t="s">
        <v>199</v>
      </c>
      <c r="G188" s="5" t="s">
        <v>201</v>
      </c>
      <c r="H188" s="77" t="s">
        <v>55</v>
      </c>
      <c r="I188" s="77" t="s">
        <v>56</v>
      </c>
      <c r="J188" s="77" t="s">
        <v>30</v>
      </c>
      <c r="K188" s="77" t="s">
        <v>56</v>
      </c>
      <c r="L188" s="77" t="s">
        <v>17</v>
      </c>
      <c r="M188" s="77" t="s">
        <v>8</v>
      </c>
    </row>
    <row r="189" spans="1:13">
      <c r="A189" s="74">
        <v>15</v>
      </c>
      <c r="B189" s="77" t="s">
        <v>111</v>
      </c>
      <c r="D189" s="77" t="s">
        <v>199</v>
      </c>
      <c r="G189" s="5" t="s">
        <v>201</v>
      </c>
      <c r="H189" s="77" t="s">
        <v>55</v>
      </c>
      <c r="I189" s="77" t="s">
        <v>56</v>
      </c>
      <c r="J189" s="77" t="s">
        <v>30</v>
      </c>
      <c r="K189" s="77" t="s">
        <v>64</v>
      </c>
      <c r="L189" s="77" t="s">
        <v>17</v>
      </c>
      <c r="M189" s="77" t="s">
        <v>8</v>
      </c>
    </row>
    <row r="190" spans="1:13">
      <c r="A190" s="74">
        <v>15</v>
      </c>
      <c r="B190" s="77" t="s">
        <v>111</v>
      </c>
      <c r="D190" s="77" t="s">
        <v>199</v>
      </c>
      <c r="G190" s="5" t="s">
        <v>201</v>
      </c>
      <c r="H190" s="77" t="s">
        <v>55</v>
      </c>
      <c r="I190" s="77" t="s">
        <v>56</v>
      </c>
      <c r="J190" s="77" t="s">
        <v>30</v>
      </c>
      <c r="K190" s="77" t="s">
        <v>63</v>
      </c>
      <c r="L190" s="77" t="s">
        <v>17</v>
      </c>
      <c r="M190" s="77" t="s">
        <v>8</v>
      </c>
    </row>
    <row r="191" spans="1:13">
      <c r="A191" s="74">
        <v>15</v>
      </c>
      <c r="B191" s="77" t="s">
        <v>111</v>
      </c>
      <c r="D191" s="77" t="s">
        <v>199</v>
      </c>
      <c r="G191" s="5" t="s">
        <v>202</v>
      </c>
      <c r="H191" s="77" t="s">
        <v>150</v>
      </c>
      <c r="I191" s="77" t="s">
        <v>71</v>
      </c>
      <c r="J191" s="77" t="s">
        <v>28</v>
      </c>
      <c r="K191" s="77" t="s">
        <v>133</v>
      </c>
      <c r="L191" s="77" t="s">
        <v>17</v>
      </c>
      <c r="M191" s="77" t="s">
        <v>8</v>
      </c>
    </row>
    <row r="192" spans="1:13">
      <c r="A192" s="74">
        <v>15</v>
      </c>
      <c r="B192" s="77" t="s">
        <v>111</v>
      </c>
      <c r="D192" s="77" t="s">
        <v>199</v>
      </c>
      <c r="G192" s="5" t="s">
        <v>202</v>
      </c>
      <c r="H192" s="77" t="s">
        <v>150</v>
      </c>
      <c r="I192" s="77" t="s">
        <v>71</v>
      </c>
      <c r="J192" s="77" t="s">
        <v>28</v>
      </c>
      <c r="K192" s="77" t="s">
        <v>56</v>
      </c>
      <c r="L192" s="77" t="s">
        <v>17</v>
      </c>
      <c r="M192" s="77" t="s">
        <v>8</v>
      </c>
    </row>
    <row r="193" spans="1:13">
      <c r="A193" s="74">
        <v>15</v>
      </c>
      <c r="B193" s="77" t="s">
        <v>111</v>
      </c>
      <c r="D193" s="77" t="s">
        <v>199</v>
      </c>
      <c r="G193" s="5" t="s">
        <v>202</v>
      </c>
      <c r="H193" s="77" t="s">
        <v>150</v>
      </c>
      <c r="I193" s="77" t="s">
        <v>71</v>
      </c>
      <c r="J193" s="77" t="s">
        <v>28</v>
      </c>
      <c r="K193" s="77" t="s">
        <v>64</v>
      </c>
      <c r="L193" s="77" t="s">
        <v>17</v>
      </c>
      <c r="M193" s="77" t="s">
        <v>8</v>
      </c>
    </row>
    <row r="194" spans="1:13" ht="28.8">
      <c r="A194" s="74">
        <v>15</v>
      </c>
      <c r="B194" s="77" t="s">
        <v>111</v>
      </c>
      <c r="D194" s="77" t="s">
        <v>199</v>
      </c>
      <c r="G194" s="5" t="s">
        <v>203</v>
      </c>
      <c r="H194" s="77" t="s">
        <v>132</v>
      </c>
      <c r="I194" s="77" t="s">
        <v>71</v>
      </c>
      <c r="J194" s="77" t="s">
        <v>30</v>
      </c>
      <c r="K194" s="77" t="s">
        <v>133</v>
      </c>
      <c r="L194" s="77" t="s">
        <v>17</v>
      </c>
      <c r="M194" s="77" t="s">
        <v>8</v>
      </c>
    </row>
    <row r="195" spans="1:13" ht="28.8">
      <c r="A195" s="74">
        <v>15</v>
      </c>
      <c r="B195" s="77" t="s">
        <v>111</v>
      </c>
      <c r="D195" s="77" t="s">
        <v>199</v>
      </c>
      <c r="G195" s="5" t="s">
        <v>203</v>
      </c>
      <c r="H195" s="77" t="s">
        <v>132</v>
      </c>
      <c r="I195" s="77" t="s">
        <v>71</v>
      </c>
      <c r="J195" s="77" t="s">
        <v>30</v>
      </c>
      <c r="K195" s="77" t="s">
        <v>56</v>
      </c>
      <c r="L195" s="77" t="s">
        <v>17</v>
      </c>
      <c r="M195" s="77" t="s">
        <v>8</v>
      </c>
    </row>
    <row r="196" spans="1:13" ht="28.8">
      <c r="A196" s="74">
        <v>15</v>
      </c>
      <c r="B196" s="77" t="s">
        <v>111</v>
      </c>
      <c r="D196" s="77" t="s">
        <v>199</v>
      </c>
      <c r="G196" s="5" t="s">
        <v>203</v>
      </c>
      <c r="H196" s="77" t="s">
        <v>132</v>
      </c>
      <c r="I196" s="77" t="s">
        <v>71</v>
      </c>
      <c r="J196" s="77" t="s">
        <v>30</v>
      </c>
      <c r="K196" s="77" t="s">
        <v>64</v>
      </c>
      <c r="L196" s="77" t="s">
        <v>17</v>
      </c>
      <c r="M196" s="77" t="s">
        <v>8</v>
      </c>
    </row>
    <row r="197" spans="1:13">
      <c r="A197" s="74">
        <v>15</v>
      </c>
      <c r="B197" s="77" t="s">
        <v>111</v>
      </c>
      <c r="D197" s="77" t="s">
        <v>199</v>
      </c>
      <c r="G197" s="5" t="s">
        <v>204</v>
      </c>
      <c r="H197" s="77" t="s">
        <v>55</v>
      </c>
      <c r="I197" s="77" t="s">
        <v>56</v>
      </c>
      <c r="J197" s="77" t="s">
        <v>30</v>
      </c>
      <c r="K197" s="77" t="s">
        <v>56</v>
      </c>
      <c r="L197" s="77" t="s">
        <v>17</v>
      </c>
      <c r="M197" s="77" t="s">
        <v>8</v>
      </c>
    </row>
    <row r="198" spans="1:13">
      <c r="A198" s="74">
        <v>15</v>
      </c>
      <c r="B198" s="77" t="s">
        <v>111</v>
      </c>
      <c r="D198" s="77" t="s">
        <v>199</v>
      </c>
      <c r="G198" s="5" t="s">
        <v>204</v>
      </c>
      <c r="H198" s="77" t="s">
        <v>55</v>
      </c>
      <c r="I198" s="77" t="s">
        <v>56</v>
      </c>
      <c r="J198" s="77" t="s">
        <v>30</v>
      </c>
      <c r="K198" s="77" t="s">
        <v>64</v>
      </c>
      <c r="L198" s="77" t="s">
        <v>17</v>
      </c>
      <c r="M198" s="77" t="s">
        <v>8</v>
      </c>
    </row>
    <row r="199" spans="1:13">
      <c r="A199" s="74">
        <v>15</v>
      </c>
      <c r="B199" s="77" t="s">
        <v>111</v>
      </c>
      <c r="D199" s="77" t="s">
        <v>199</v>
      </c>
      <c r="G199" s="5" t="s">
        <v>204</v>
      </c>
      <c r="H199" s="77" t="s">
        <v>55</v>
      </c>
      <c r="I199" s="77" t="s">
        <v>56</v>
      </c>
      <c r="J199" s="77" t="s">
        <v>30</v>
      </c>
      <c r="K199" s="77" t="s">
        <v>63</v>
      </c>
      <c r="L199" s="77" t="s">
        <v>17</v>
      </c>
      <c r="M199" s="77" t="s">
        <v>8</v>
      </c>
    </row>
    <row r="200" spans="1:13">
      <c r="A200" s="74">
        <v>15</v>
      </c>
      <c r="B200" s="77" t="s">
        <v>111</v>
      </c>
      <c r="D200" s="77" t="s">
        <v>199</v>
      </c>
      <c r="G200" s="5" t="s">
        <v>205</v>
      </c>
      <c r="H200" s="77" t="s">
        <v>55</v>
      </c>
      <c r="I200" s="77" t="s">
        <v>56</v>
      </c>
      <c r="J200" s="77" t="s">
        <v>30</v>
      </c>
      <c r="K200" s="77" t="s">
        <v>56</v>
      </c>
      <c r="L200" s="77" t="s">
        <v>17</v>
      </c>
      <c r="M200" s="77" t="s">
        <v>8</v>
      </c>
    </row>
    <row r="201" spans="1:13">
      <c r="A201" s="74">
        <v>15</v>
      </c>
      <c r="B201" s="77" t="s">
        <v>111</v>
      </c>
      <c r="D201" s="77" t="s">
        <v>199</v>
      </c>
      <c r="G201" s="5" t="s">
        <v>205</v>
      </c>
      <c r="H201" s="77" t="s">
        <v>55</v>
      </c>
      <c r="I201" s="77" t="s">
        <v>56</v>
      </c>
      <c r="J201" s="77" t="s">
        <v>30</v>
      </c>
      <c r="K201" s="77" t="s">
        <v>64</v>
      </c>
      <c r="L201" s="77" t="s">
        <v>17</v>
      </c>
      <c r="M201" s="77" t="s">
        <v>8</v>
      </c>
    </row>
    <row r="202" spans="1:13">
      <c r="A202" s="74">
        <v>15</v>
      </c>
      <c r="B202" s="77" t="s">
        <v>111</v>
      </c>
      <c r="D202" s="77" t="s">
        <v>199</v>
      </c>
      <c r="G202" s="5" t="s">
        <v>205</v>
      </c>
      <c r="H202" s="77" t="s">
        <v>55</v>
      </c>
      <c r="I202" s="77" t="s">
        <v>56</v>
      </c>
      <c r="J202" s="77" t="s">
        <v>30</v>
      </c>
      <c r="K202" s="77" t="s">
        <v>63</v>
      </c>
      <c r="L202" s="77" t="s">
        <v>17</v>
      </c>
      <c r="M202" s="77" t="s">
        <v>8</v>
      </c>
    </row>
    <row r="203" spans="1:13">
      <c r="A203" s="74">
        <v>15</v>
      </c>
      <c r="B203" s="77" t="s">
        <v>111</v>
      </c>
      <c r="D203" s="77" t="s">
        <v>199</v>
      </c>
      <c r="G203" s="5" t="s">
        <v>206</v>
      </c>
      <c r="H203" s="77" t="s">
        <v>55</v>
      </c>
      <c r="I203" s="77" t="s">
        <v>56</v>
      </c>
      <c r="J203" s="77" t="s">
        <v>30</v>
      </c>
      <c r="K203" s="77" t="s">
        <v>56</v>
      </c>
      <c r="L203" s="77" t="s">
        <v>17</v>
      </c>
      <c r="M203" s="77" t="s">
        <v>8</v>
      </c>
    </row>
    <row r="204" spans="1:13">
      <c r="A204" s="74">
        <v>15</v>
      </c>
      <c r="B204" s="77" t="s">
        <v>111</v>
      </c>
      <c r="D204" s="77" t="s">
        <v>199</v>
      </c>
      <c r="G204" s="5" t="s">
        <v>206</v>
      </c>
      <c r="H204" s="77" t="s">
        <v>55</v>
      </c>
      <c r="I204" s="77" t="s">
        <v>56</v>
      </c>
      <c r="J204" s="77" t="s">
        <v>30</v>
      </c>
      <c r="K204" s="77" t="s">
        <v>64</v>
      </c>
      <c r="L204" s="77" t="s">
        <v>17</v>
      </c>
      <c r="M204" s="77" t="s">
        <v>8</v>
      </c>
    </row>
    <row r="205" spans="1:13">
      <c r="A205" s="74">
        <v>15</v>
      </c>
      <c r="B205" s="77" t="s">
        <v>111</v>
      </c>
      <c r="D205" s="77" t="s">
        <v>199</v>
      </c>
      <c r="G205" s="5" t="s">
        <v>206</v>
      </c>
      <c r="H205" s="77" t="s">
        <v>55</v>
      </c>
      <c r="I205" s="77" t="s">
        <v>56</v>
      </c>
      <c r="J205" s="77" t="s">
        <v>30</v>
      </c>
      <c r="K205" s="77" t="s">
        <v>63</v>
      </c>
      <c r="L205" s="77" t="s">
        <v>17</v>
      </c>
      <c r="M205" s="77" t="s">
        <v>8</v>
      </c>
    </row>
    <row r="206" spans="1:13">
      <c r="A206" s="74">
        <v>15</v>
      </c>
      <c r="B206" s="77" t="s">
        <v>111</v>
      </c>
      <c r="D206" s="77" t="s">
        <v>199</v>
      </c>
      <c r="G206" s="5" t="s">
        <v>207</v>
      </c>
      <c r="H206" s="77" t="s">
        <v>55</v>
      </c>
      <c r="I206" s="77" t="s">
        <v>56</v>
      </c>
      <c r="J206" s="77" t="s">
        <v>30</v>
      </c>
      <c r="K206" s="77" t="s">
        <v>56</v>
      </c>
      <c r="L206" s="77" t="s">
        <v>17</v>
      </c>
      <c r="M206" s="77" t="s">
        <v>8</v>
      </c>
    </row>
    <row r="207" spans="1:13">
      <c r="A207" s="74">
        <v>15</v>
      </c>
      <c r="B207" s="77" t="s">
        <v>111</v>
      </c>
      <c r="D207" s="77" t="s">
        <v>199</v>
      </c>
      <c r="G207" s="5" t="s">
        <v>207</v>
      </c>
      <c r="H207" s="77" t="s">
        <v>55</v>
      </c>
      <c r="I207" s="77" t="s">
        <v>56</v>
      </c>
      <c r="J207" s="77" t="s">
        <v>30</v>
      </c>
      <c r="K207" s="77" t="s">
        <v>64</v>
      </c>
      <c r="L207" s="77" t="s">
        <v>17</v>
      </c>
      <c r="M207" s="77" t="s">
        <v>8</v>
      </c>
    </row>
    <row r="208" spans="1:13">
      <c r="A208" s="74">
        <v>15</v>
      </c>
      <c r="B208" s="77" t="s">
        <v>111</v>
      </c>
      <c r="D208" s="77" t="s">
        <v>199</v>
      </c>
      <c r="G208" s="5" t="s">
        <v>207</v>
      </c>
      <c r="H208" s="77" t="s">
        <v>55</v>
      </c>
      <c r="I208" s="77" t="s">
        <v>56</v>
      </c>
      <c r="J208" s="77" t="s">
        <v>30</v>
      </c>
      <c r="K208" s="77" t="s">
        <v>63</v>
      </c>
      <c r="L208" s="77" t="s">
        <v>17</v>
      </c>
      <c r="M208" s="77" t="s">
        <v>8</v>
      </c>
    </row>
    <row r="209" spans="1:13" ht="28.8">
      <c r="A209" s="74">
        <v>8</v>
      </c>
      <c r="B209" s="77" t="s">
        <v>97</v>
      </c>
      <c r="D209" s="77" t="s">
        <v>121</v>
      </c>
      <c r="G209" s="5" t="s">
        <v>208</v>
      </c>
      <c r="H209" s="77" t="s">
        <v>55</v>
      </c>
      <c r="I209" s="77" t="s">
        <v>56</v>
      </c>
      <c r="J209" s="77" t="s">
        <v>30</v>
      </c>
      <c r="K209" s="77" t="s">
        <v>56</v>
      </c>
      <c r="L209" s="77" t="s">
        <v>17</v>
      </c>
      <c r="M209" s="77" t="s">
        <v>8</v>
      </c>
    </row>
    <row r="210" spans="1:13" ht="28.8">
      <c r="A210" s="74">
        <v>8</v>
      </c>
      <c r="B210" s="77" t="s">
        <v>97</v>
      </c>
      <c r="D210" s="77" t="s">
        <v>121</v>
      </c>
      <c r="G210" s="5" t="s">
        <v>208</v>
      </c>
      <c r="H210" s="77" t="s">
        <v>55</v>
      </c>
      <c r="I210" s="77" t="s">
        <v>56</v>
      </c>
      <c r="J210" s="77" t="s">
        <v>30</v>
      </c>
      <c r="K210" s="77" t="s">
        <v>64</v>
      </c>
      <c r="L210" s="77" t="s">
        <v>17</v>
      </c>
      <c r="M210" s="77" t="s">
        <v>8</v>
      </c>
    </row>
    <row r="211" spans="1:13" ht="28.8">
      <c r="A211" s="74">
        <v>8</v>
      </c>
      <c r="B211" s="77" t="s">
        <v>97</v>
      </c>
      <c r="D211" s="77" t="s">
        <v>121</v>
      </c>
      <c r="G211" s="5" t="s">
        <v>208</v>
      </c>
      <c r="H211" s="77" t="s">
        <v>55</v>
      </c>
      <c r="I211" s="77" t="s">
        <v>56</v>
      </c>
      <c r="J211" s="77" t="s">
        <v>30</v>
      </c>
      <c r="K211" s="77" t="s">
        <v>63</v>
      </c>
      <c r="L211" s="77" t="s">
        <v>17</v>
      </c>
      <c r="M211" s="77" t="s">
        <v>8</v>
      </c>
    </row>
    <row r="212" spans="1:13" ht="43.2">
      <c r="A212" s="74">
        <v>8</v>
      </c>
      <c r="B212" s="77" t="s">
        <v>97</v>
      </c>
      <c r="D212" s="77" t="s">
        <v>121</v>
      </c>
      <c r="G212" s="5" t="s">
        <v>209</v>
      </c>
      <c r="H212" s="77" t="s">
        <v>55</v>
      </c>
      <c r="I212" s="77" t="s">
        <v>56</v>
      </c>
      <c r="J212" s="77" t="s">
        <v>30</v>
      </c>
      <c r="K212" s="77" t="s">
        <v>56</v>
      </c>
      <c r="L212" s="77" t="s">
        <v>17</v>
      </c>
      <c r="M212" s="77" t="s">
        <v>8</v>
      </c>
    </row>
    <row r="213" spans="1:13" ht="43.2">
      <c r="A213" s="74">
        <v>8</v>
      </c>
      <c r="B213" s="77" t="s">
        <v>97</v>
      </c>
      <c r="D213" s="77" t="s">
        <v>121</v>
      </c>
      <c r="G213" s="5" t="s">
        <v>209</v>
      </c>
      <c r="H213" s="77" t="s">
        <v>55</v>
      </c>
      <c r="I213" s="77" t="s">
        <v>56</v>
      </c>
      <c r="J213" s="77" t="s">
        <v>30</v>
      </c>
      <c r="K213" s="77" t="s">
        <v>64</v>
      </c>
      <c r="L213" s="77" t="s">
        <v>17</v>
      </c>
      <c r="M213" s="77" t="s">
        <v>8</v>
      </c>
    </row>
    <row r="214" spans="1:13" ht="43.2">
      <c r="A214" s="74">
        <v>8</v>
      </c>
      <c r="B214" s="77" t="s">
        <v>97</v>
      </c>
      <c r="D214" s="77" t="s">
        <v>121</v>
      </c>
      <c r="G214" s="5" t="s">
        <v>209</v>
      </c>
      <c r="H214" s="77" t="s">
        <v>55</v>
      </c>
      <c r="I214" s="77" t="s">
        <v>56</v>
      </c>
      <c r="J214" s="77" t="s">
        <v>30</v>
      </c>
      <c r="K214" s="77" t="s">
        <v>63</v>
      </c>
      <c r="L214" s="77" t="s">
        <v>17</v>
      </c>
      <c r="M214" s="77" t="s">
        <v>8</v>
      </c>
    </row>
    <row r="215" spans="1:13" ht="28.8">
      <c r="A215" s="74">
        <v>8</v>
      </c>
      <c r="B215" s="77" t="s">
        <v>97</v>
      </c>
      <c r="D215" s="77" t="s">
        <v>121</v>
      </c>
      <c r="G215" s="5" t="s">
        <v>210</v>
      </c>
      <c r="H215" s="77" t="s">
        <v>55</v>
      </c>
      <c r="I215" s="77" t="s">
        <v>56</v>
      </c>
      <c r="J215" s="77" t="s">
        <v>30</v>
      </c>
      <c r="K215" s="77" t="s">
        <v>56</v>
      </c>
      <c r="L215" s="77" t="s">
        <v>17</v>
      </c>
      <c r="M215" s="77" t="s">
        <v>8</v>
      </c>
    </row>
    <row r="216" spans="1:13" ht="28.8">
      <c r="A216" s="74">
        <v>8</v>
      </c>
      <c r="B216" s="77" t="s">
        <v>97</v>
      </c>
      <c r="D216" s="77" t="s">
        <v>121</v>
      </c>
      <c r="G216" s="5" t="s">
        <v>210</v>
      </c>
      <c r="H216" s="77" t="s">
        <v>55</v>
      </c>
      <c r="I216" s="77" t="s">
        <v>56</v>
      </c>
      <c r="J216" s="77" t="s">
        <v>30</v>
      </c>
      <c r="K216" s="77" t="s">
        <v>64</v>
      </c>
      <c r="L216" s="77" t="s">
        <v>17</v>
      </c>
      <c r="M216" s="77" t="s">
        <v>8</v>
      </c>
    </row>
    <row r="217" spans="1:13" ht="28.8">
      <c r="A217" s="74">
        <v>8</v>
      </c>
      <c r="B217" s="77" t="s">
        <v>97</v>
      </c>
      <c r="D217" s="77" t="s">
        <v>121</v>
      </c>
      <c r="G217" s="5" t="s">
        <v>210</v>
      </c>
      <c r="H217" s="77" t="s">
        <v>55</v>
      </c>
      <c r="I217" s="77" t="s">
        <v>56</v>
      </c>
      <c r="J217" s="77" t="s">
        <v>30</v>
      </c>
      <c r="K217" s="77" t="s">
        <v>63</v>
      </c>
      <c r="L217" s="77" t="s">
        <v>17</v>
      </c>
      <c r="M217" s="77" t="s">
        <v>8</v>
      </c>
    </row>
    <row r="218" spans="1:13" ht="28.8">
      <c r="A218" s="74">
        <v>8</v>
      </c>
      <c r="B218" s="77" t="s">
        <v>97</v>
      </c>
      <c r="D218" s="77" t="s">
        <v>121</v>
      </c>
      <c r="G218" s="5" t="s">
        <v>211</v>
      </c>
      <c r="H218" s="77" t="s">
        <v>169</v>
      </c>
      <c r="I218" s="77" t="s">
        <v>72</v>
      </c>
      <c r="J218" s="77" t="s">
        <v>23</v>
      </c>
      <c r="K218" s="77" t="s">
        <v>66</v>
      </c>
      <c r="L218" s="77" t="s">
        <v>17</v>
      </c>
      <c r="M218" s="77" t="s">
        <v>8</v>
      </c>
    </row>
    <row r="219" spans="1:13" ht="28.8">
      <c r="A219" s="74">
        <v>8</v>
      </c>
      <c r="B219" s="77" t="s">
        <v>97</v>
      </c>
      <c r="D219" s="77" t="s">
        <v>121</v>
      </c>
      <c r="G219" s="5" t="s">
        <v>211</v>
      </c>
      <c r="H219" s="77" t="s">
        <v>169</v>
      </c>
      <c r="I219" s="77" t="s">
        <v>72</v>
      </c>
      <c r="J219" s="77" t="s">
        <v>23</v>
      </c>
      <c r="K219" s="77" t="s">
        <v>62</v>
      </c>
      <c r="L219" s="77" t="s">
        <v>17</v>
      </c>
      <c r="M219" s="77" t="s">
        <v>8</v>
      </c>
    </row>
    <row r="220" spans="1:13" ht="28.8">
      <c r="A220" s="74">
        <v>8</v>
      </c>
      <c r="B220" s="77" t="s">
        <v>97</v>
      </c>
      <c r="D220" s="77" t="s">
        <v>121</v>
      </c>
      <c r="G220" s="5" t="s">
        <v>211</v>
      </c>
      <c r="H220" s="77" t="s">
        <v>169</v>
      </c>
      <c r="I220" s="77" t="s">
        <v>72</v>
      </c>
      <c r="J220" s="77" t="s">
        <v>23</v>
      </c>
      <c r="K220" s="77" t="s">
        <v>61</v>
      </c>
      <c r="L220" s="77" t="s">
        <v>17</v>
      </c>
      <c r="M220" s="77" t="s">
        <v>8</v>
      </c>
    </row>
    <row r="221" spans="1:13" ht="28.8">
      <c r="A221" s="74">
        <v>8</v>
      </c>
      <c r="B221" s="77" t="s">
        <v>97</v>
      </c>
      <c r="D221" s="77" t="s">
        <v>121</v>
      </c>
      <c r="G221" s="5" t="s">
        <v>212</v>
      </c>
      <c r="H221" s="77" t="s">
        <v>150</v>
      </c>
      <c r="I221" s="77" t="s">
        <v>71</v>
      </c>
      <c r="J221" s="77" t="s">
        <v>28</v>
      </c>
      <c r="K221" s="77" t="s">
        <v>133</v>
      </c>
      <c r="L221" s="77" t="s">
        <v>17</v>
      </c>
      <c r="M221" s="77" t="s">
        <v>8</v>
      </c>
    </row>
    <row r="222" spans="1:13" ht="28.8">
      <c r="A222" s="74">
        <v>8</v>
      </c>
      <c r="B222" s="77" t="s">
        <v>97</v>
      </c>
      <c r="D222" s="77" t="s">
        <v>121</v>
      </c>
      <c r="G222" s="5" t="s">
        <v>212</v>
      </c>
      <c r="H222" s="77" t="s">
        <v>150</v>
      </c>
      <c r="I222" s="77" t="s">
        <v>71</v>
      </c>
      <c r="J222" s="77" t="s">
        <v>28</v>
      </c>
      <c r="K222" s="77" t="s">
        <v>56</v>
      </c>
      <c r="L222" s="77" t="s">
        <v>17</v>
      </c>
      <c r="M222" s="77" t="s">
        <v>8</v>
      </c>
    </row>
    <row r="223" spans="1:13" ht="28.8">
      <c r="A223" s="74">
        <v>8</v>
      </c>
      <c r="B223" s="77" t="s">
        <v>97</v>
      </c>
      <c r="D223" s="77" t="s">
        <v>121</v>
      </c>
      <c r="G223" s="5" t="s">
        <v>212</v>
      </c>
      <c r="H223" s="77" t="s">
        <v>150</v>
      </c>
      <c r="I223" s="77" t="s">
        <v>71</v>
      </c>
      <c r="J223" s="77" t="s">
        <v>28</v>
      </c>
      <c r="K223" s="77" t="s">
        <v>64</v>
      </c>
      <c r="L223" s="77" t="s">
        <v>17</v>
      </c>
      <c r="M223" s="77" t="s">
        <v>8</v>
      </c>
    </row>
    <row r="224" spans="1:13" ht="28.8">
      <c r="A224" s="74">
        <v>8</v>
      </c>
      <c r="B224" s="77" t="s">
        <v>97</v>
      </c>
      <c r="D224" s="77" t="s">
        <v>121</v>
      </c>
      <c r="G224" s="5" t="s">
        <v>213</v>
      </c>
      <c r="H224" s="77" t="s">
        <v>55</v>
      </c>
      <c r="I224" s="77" t="s">
        <v>56</v>
      </c>
      <c r="J224" s="77" t="s">
        <v>30</v>
      </c>
      <c r="K224" s="77" t="s">
        <v>56</v>
      </c>
      <c r="L224" s="77" t="s">
        <v>17</v>
      </c>
      <c r="M224" s="77" t="s">
        <v>8</v>
      </c>
    </row>
    <row r="225" spans="1:13" ht="28.8">
      <c r="A225" s="74">
        <v>8</v>
      </c>
      <c r="B225" s="77" t="s">
        <v>97</v>
      </c>
      <c r="D225" s="77" t="s">
        <v>121</v>
      </c>
      <c r="G225" s="5" t="s">
        <v>213</v>
      </c>
      <c r="H225" s="77" t="s">
        <v>55</v>
      </c>
      <c r="I225" s="77" t="s">
        <v>56</v>
      </c>
      <c r="J225" s="77" t="s">
        <v>30</v>
      </c>
      <c r="K225" s="77" t="s">
        <v>64</v>
      </c>
      <c r="L225" s="77" t="s">
        <v>17</v>
      </c>
      <c r="M225" s="77" t="s">
        <v>8</v>
      </c>
    </row>
    <row r="226" spans="1:13" ht="28.8">
      <c r="A226" s="74">
        <v>8</v>
      </c>
      <c r="B226" s="77" t="s">
        <v>97</v>
      </c>
      <c r="D226" s="77" t="s">
        <v>121</v>
      </c>
      <c r="G226" s="5" t="s">
        <v>213</v>
      </c>
      <c r="H226" s="77" t="s">
        <v>55</v>
      </c>
      <c r="I226" s="77" t="s">
        <v>56</v>
      </c>
      <c r="J226" s="77" t="s">
        <v>30</v>
      </c>
      <c r="K226" s="77" t="s">
        <v>63</v>
      </c>
      <c r="L226" s="77" t="s">
        <v>17</v>
      </c>
      <c r="M226" s="77" t="s">
        <v>8</v>
      </c>
    </row>
    <row r="227" spans="1:13" ht="28.8">
      <c r="A227" s="74">
        <v>8</v>
      </c>
      <c r="B227" s="77" t="s">
        <v>97</v>
      </c>
      <c r="D227" s="77" t="s">
        <v>121</v>
      </c>
      <c r="G227" s="5" t="s">
        <v>214</v>
      </c>
      <c r="H227" s="77" t="s">
        <v>55</v>
      </c>
      <c r="I227" s="77" t="s">
        <v>56</v>
      </c>
      <c r="J227" s="77" t="s">
        <v>30</v>
      </c>
      <c r="K227" s="77" t="s">
        <v>56</v>
      </c>
      <c r="L227" s="77" t="s">
        <v>17</v>
      </c>
      <c r="M227" s="77" t="s">
        <v>8</v>
      </c>
    </row>
    <row r="228" spans="1:13" ht="28.8">
      <c r="A228" s="74">
        <v>8</v>
      </c>
      <c r="B228" s="77" t="s">
        <v>97</v>
      </c>
      <c r="D228" s="77" t="s">
        <v>121</v>
      </c>
      <c r="G228" s="5" t="s">
        <v>214</v>
      </c>
      <c r="H228" s="77" t="s">
        <v>55</v>
      </c>
      <c r="I228" s="77" t="s">
        <v>56</v>
      </c>
      <c r="J228" s="77" t="s">
        <v>30</v>
      </c>
      <c r="K228" s="77" t="s">
        <v>64</v>
      </c>
      <c r="L228" s="77" t="s">
        <v>17</v>
      </c>
      <c r="M228" s="77" t="s">
        <v>8</v>
      </c>
    </row>
    <row r="229" spans="1:13" ht="28.8">
      <c r="A229" s="74">
        <v>8</v>
      </c>
      <c r="B229" s="77" t="s">
        <v>97</v>
      </c>
      <c r="D229" s="77" t="s">
        <v>121</v>
      </c>
      <c r="G229" s="5" t="s">
        <v>214</v>
      </c>
      <c r="H229" s="77" t="s">
        <v>55</v>
      </c>
      <c r="I229" s="77" t="s">
        <v>56</v>
      </c>
      <c r="J229" s="77" t="s">
        <v>30</v>
      </c>
      <c r="K229" s="77" t="s">
        <v>63</v>
      </c>
      <c r="L229" s="77" t="s">
        <v>17</v>
      </c>
      <c r="M229" s="77" t="s">
        <v>8</v>
      </c>
    </row>
    <row r="230" spans="1:13" ht="28.8">
      <c r="A230" s="74">
        <v>8</v>
      </c>
      <c r="B230" s="77" t="s">
        <v>97</v>
      </c>
      <c r="D230" s="77" t="s">
        <v>121</v>
      </c>
      <c r="G230" s="5" t="s">
        <v>215</v>
      </c>
      <c r="H230" s="77" t="s">
        <v>55</v>
      </c>
      <c r="I230" s="77" t="s">
        <v>56</v>
      </c>
      <c r="J230" s="77" t="s">
        <v>30</v>
      </c>
      <c r="K230" s="77" t="s">
        <v>56</v>
      </c>
      <c r="L230" s="77" t="s">
        <v>17</v>
      </c>
      <c r="M230" s="77" t="s">
        <v>8</v>
      </c>
    </row>
    <row r="231" spans="1:13" ht="28.8">
      <c r="A231" s="74">
        <v>8</v>
      </c>
      <c r="B231" s="77" t="s">
        <v>97</v>
      </c>
      <c r="D231" s="77" t="s">
        <v>121</v>
      </c>
      <c r="G231" s="5" t="s">
        <v>215</v>
      </c>
      <c r="H231" s="77" t="s">
        <v>55</v>
      </c>
      <c r="I231" s="77" t="s">
        <v>56</v>
      </c>
      <c r="J231" s="77" t="s">
        <v>30</v>
      </c>
      <c r="K231" s="77" t="s">
        <v>64</v>
      </c>
      <c r="L231" s="77" t="s">
        <v>17</v>
      </c>
      <c r="M231" s="77" t="s">
        <v>8</v>
      </c>
    </row>
    <row r="232" spans="1:13" ht="28.8">
      <c r="A232" s="74">
        <v>8</v>
      </c>
      <c r="B232" s="77" t="s">
        <v>97</v>
      </c>
      <c r="D232" s="77" t="s">
        <v>121</v>
      </c>
      <c r="G232" s="5" t="s">
        <v>215</v>
      </c>
      <c r="H232" s="77" t="s">
        <v>55</v>
      </c>
      <c r="I232" s="77" t="s">
        <v>56</v>
      </c>
      <c r="J232" s="77" t="s">
        <v>30</v>
      </c>
      <c r="K232" s="77" t="s">
        <v>63</v>
      </c>
      <c r="L232" s="77" t="s">
        <v>17</v>
      </c>
      <c r="M232" s="77" t="s">
        <v>8</v>
      </c>
    </row>
    <row r="233" spans="1:13" ht="28.8">
      <c r="A233" s="74">
        <v>8</v>
      </c>
      <c r="B233" s="77" t="s">
        <v>97</v>
      </c>
      <c r="D233" s="77" t="s">
        <v>121</v>
      </c>
      <c r="G233" s="5" t="s">
        <v>216</v>
      </c>
      <c r="H233" s="77" t="s">
        <v>55</v>
      </c>
      <c r="I233" s="77" t="s">
        <v>56</v>
      </c>
      <c r="J233" s="77" t="s">
        <v>30</v>
      </c>
      <c r="K233" s="77" t="s">
        <v>56</v>
      </c>
      <c r="L233" s="77" t="s">
        <v>17</v>
      </c>
      <c r="M233" s="77" t="s">
        <v>8</v>
      </c>
    </row>
    <row r="234" spans="1:13" ht="28.8">
      <c r="A234" s="74">
        <v>8</v>
      </c>
      <c r="B234" s="77" t="s">
        <v>97</v>
      </c>
      <c r="D234" s="77" t="s">
        <v>121</v>
      </c>
      <c r="G234" s="5" t="s">
        <v>216</v>
      </c>
      <c r="H234" s="77" t="s">
        <v>55</v>
      </c>
      <c r="I234" s="77" t="s">
        <v>56</v>
      </c>
      <c r="J234" s="77" t="s">
        <v>30</v>
      </c>
      <c r="K234" s="77" t="s">
        <v>64</v>
      </c>
      <c r="L234" s="77" t="s">
        <v>17</v>
      </c>
      <c r="M234" s="77" t="s">
        <v>8</v>
      </c>
    </row>
    <row r="235" spans="1:13" ht="28.8">
      <c r="A235" s="74">
        <v>8</v>
      </c>
      <c r="B235" s="77" t="s">
        <v>97</v>
      </c>
      <c r="D235" s="77" t="s">
        <v>121</v>
      </c>
      <c r="G235" s="5" t="s">
        <v>216</v>
      </c>
      <c r="H235" s="77" t="s">
        <v>55</v>
      </c>
      <c r="I235" s="77" t="s">
        <v>56</v>
      </c>
      <c r="J235" s="77" t="s">
        <v>30</v>
      </c>
      <c r="K235" s="77" t="s">
        <v>63</v>
      </c>
      <c r="L235" s="77" t="s">
        <v>17</v>
      </c>
      <c r="M235" s="77" t="s">
        <v>8</v>
      </c>
    </row>
    <row r="236" spans="1:13" ht="28.8">
      <c r="A236" s="74">
        <v>8</v>
      </c>
      <c r="B236" s="77" t="s">
        <v>97</v>
      </c>
      <c r="D236" s="77" t="s">
        <v>121</v>
      </c>
      <c r="G236" s="5" t="s">
        <v>217</v>
      </c>
      <c r="H236" s="77" t="s">
        <v>55</v>
      </c>
      <c r="I236" s="77" t="s">
        <v>56</v>
      </c>
      <c r="J236" s="77" t="s">
        <v>30</v>
      </c>
      <c r="K236" s="77" t="s">
        <v>56</v>
      </c>
      <c r="L236" s="77" t="s">
        <v>17</v>
      </c>
      <c r="M236" s="77" t="s">
        <v>8</v>
      </c>
    </row>
    <row r="237" spans="1:13" ht="28.8">
      <c r="A237" s="74">
        <v>8</v>
      </c>
      <c r="B237" s="77" t="s">
        <v>97</v>
      </c>
      <c r="D237" s="77" t="s">
        <v>121</v>
      </c>
      <c r="G237" s="5" t="s">
        <v>217</v>
      </c>
      <c r="H237" s="77" t="s">
        <v>55</v>
      </c>
      <c r="I237" s="77" t="s">
        <v>56</v>
      </c>
      <c r="J237" s="77" t="s">
        <v>30</v>
      </c>
      <c r="K237" s="77" t="s">
        <v>64</v>
      </c>
      <c r="L237" s="77" t="s">
        <v>17</v>
      </c>
      <c r="M237" s="77" t="s">
        <v>8</v>
      </c>
    </row>
    <row r="238" spans="1:13" ht="28.8">
      <c r="A238" s="74">
        <v>8</v>
      </c>
      <c r="B238" s="77" t="s">
        <v>97</v>
      </c>
      <c r="D238" s="77" t="s">
        <v>121</v>
      </c>
      <c r="G238" s="5" t="s">
        <v>217</v>
      </c>
      <c r="H238" s="77" t="s">
        <v>55</v>
      </c>
      <c r="I238" s="77" t="s">
        <v>56</v>
      </c>
      <c r="J238" s="77" t="s">
        <v>30</v>
      </c>
      <c r="K238" s="77" t="s">
        <v>63</v>
      </c>
      <c r="L238" s="77" t="s">
        <v>17</v>
      </c>
      <c r="M238" s="77" t="s">
        <v>8</v>
      </c>
    </row>
    <row r="239" spans="1:13" ht="28.8">
      <c r="A239" s="74">
        <v>1</v>
      </c>
      <c r="B239" s="77" t="s">
        <v>81</v>
      </c>
      <c r="D239" s="77" t="s">
        <v>121</v>
      </c>
      <c r="G239" s="5" t="s">
        <v>218</v>
      </c>
      <c r="H239" s="77" t="s">
        <v>150</v>
      </c>
      <c r="I239" s="77" t="s">
        <v>71</v>
      </c>
      <c r="J239" s="77" t="s">
        <v>28</v>
      </c>
      <c r="K239" s="77" t="s">
        <v>133</v>
      </c>
      <c r="L239" s="77" t="s">
        <v>17</v>
      </c>
      <c r="M239" s="77" t="s">
        <v>8</v>
      </c>
    </row>
    <row r="240" spans="1:13" ht="28.8">
      <c r="A240" s="74">
        <v>1</v>
      </c>
      <c r="B240" s="77" t="s">
        <v>81</v>
      </c>
      <c r="D240" s="77" t="s">
        <v>121</v>
      </c>
      <c r="G240" s="5" t="s">
        <v>218</v>
      </c>
      <c r="H240" s="77" t="s">
        <v>150</v>
      </c>
      <c r="I240" s="77" t="s">
        <v>71</v>
      </c>
      <c r="J240" s="77" t="s">
        <v>28</v>
      </c>
      <c r="K240" s="77" t="s">
        <v>56</v>
      </c>
      <c r="L240" s="77" t="s">
        <v>17</v>
      </c>
      <c r="M240" s="77" t="s">
        <v>8</v>
      </c>
    </row>
    <row r="241" spans="1:13" ht="28.8">
      <c r="A241" s="74">
        <v>1</v>
      </c>
      <c r="B241" s="77" t="s">
        <v>81</v>
      </c>
      <c r="D241" s="77" t="s">
        <v>121</v>
      </c>
      <c r="G241" s="5" t="s">
        <v>218</v>
      </c>
      <c r="H241" s="77" t="s">
        <v>150</v>
      </c>
      <c r="I241" s="77" t="s">
        <v>71</v>
      </c>
      <c r="J241" s="77" t="s">
        <v>28</v>
      </c>
      <c r="K241" s="77" t="s">
        <v>64</v>
      </c>
      <c r="L241" s="77" t="s">
        <v>17</v>
      </c>
      <c r="M241" s="77" t="s">
        <v>8</v>
      </c>
    </row>
    <row r="242" spans="1:13">
      <c r="A242" s="74">
        <v>1</v>
      </c>
      <c r="B242" s="77" t="s">
        <v>81</v>
      </c>
      <c r="D242" s="77" t="s">
        <v>121</v>
      </c>
      <c r="G242" s="5" t="s">
        <v>219</v>
      </c>
      <c r="H242" s="77" t="s">
        <v>55</v>
      </c>
      <c r="I242" s="77" t="s">
        <v>56</v>
      </c>
      <c r="J242" s="77" t="s">
        <v>30</v>
      </c>
      <c r="K242" s="77" t="s">
        <v>56</v>
      </c>
      <c r="L242" s="77" t="s">
        <v>17</v>
      </c>
      <c r="M242" s="77" t="s">
        <v>8</v>
      </c>
    </row>
    <row r="243" spans="1:13">
      <c r="A243" s="74">
        <v>1</v>
      </c>
      <c r="B243" s="77" t="s">
        <v>81</v>
      </c>
      <c r="D243" s="77" t="s">
        <v>121</v>
      </c>
      <c r="G243" s="5" t="s">
        <v>219</v>
      </c>
      <c r="H243" s="77" t="s">
        <v>55</v>
      </c>
      <c r="I243" s="77" t="s">
        <v>56</v>
      </c>
      <c r="J243" s="77" t="s">
        <v>30</v>
      </c>
      <c r="K243" s="77" t="s">
        <v>64</v>
      </c>
      <c r="L243" s="77" t="s">
        <v>17</v>
      </c>
      <c r="M243" s="77" t="s">
        <v>8</v>
      </c>
    </row>
    <row r="244" spans="1:13">
      <c r="A244" s="74">
        <v>1</v>
      </c>
      <c r="B244" s="77" t="s">
        <v>81</v>
      </c>
      <c r="D244" s="77" t="s">
        <v>121</v>
      </c>
      <c r="G244" s="5" t="s">
        <v>219</v>
      </c>
      <c r="H244" s="77" t="s">
        <v>55</v>
      </c>
      <c r="I244" s="77" t="s">
        <v>56</v>
      </c>
      <c r="J244" s="77" t="s">
        <v>30</v>
      </c>
      <c r="K244" s="77" t="s">
        <v>63</v>
      </c>
      <c r="L244" s="77" t="s">
        <v>17</v>
      </c>
      <c r="M244" s="77" t="s">
        <v>8</v>
      </c>
    </row>
    <row r="245" spans="1:13">
      <c r="A245" s="74">
        <v>1</v>
      </c>
      <c r="B245" s="77" t="s">
        <v>81</v>
      </c>
      <c r="D245" s="77" t="s">
        <v>121</v>
      </c>
      <c r="G245" s="5" t="s">
        <v>220</v>
      </c>
      <c r="H245" s="77" t="s">
        <v>55</v>
      </c>
      <c r="I245" s="77" t="s">
        <v>56</v>
      </c>
      <c r="J245" s="77" t="s">
        <v>30</v>
      </c>
      <c r="K245" s="77" t="s">
        <v>56</v>
      </c>
      <c r="L245" s="77" t="s">
        <v>17</v>
      </c>
      <c r="M245" s="77" t="s">
        <v>8</v>
      </c>
    </row>
    <row r="246" spans="1:13">
      <c r="A246" s="74">
        <v>1</v>
      </c>
      <c r="B246" s="77" t="s">
        <v>81</v>
      </c>
      <c r="D246" s="77" t="s">
        <v>121</v>
      </c>
      <c r="G246" s="5" t="s">
        <v>220</v>
      </c>
      <c r="H246" s="77" t="s">
        <v>55</v>
      </c>
      <c r="I246" s="77" t="s">
        <v>56</v>
      </c>
      <c r="J246" s="77" t="s">
        <v>30</v>
      </c>
      <c r="K246" s="77" t="s">
        <v>64</v>
      </c>
      <c r="L246" s="77" t="s">
        <v>17</v>
      </c>
      <c r="M246" s="77" t="s">
        <v>8</v>
      </c>
    </row>
    <row r="247" spans="1:13">
      <c r="A247" s="74">
        <v>1</v>
      </c>
      <c r="B247" s="77" t="s">
        <v>81</v>
      </c>
      <c r="D247" s="77" t="s">
        <v>121</v>
      </c>
      <c r="G247" s="5" t="s">
        <v>220</v>
      </c>
      <c r="H247" s="77" t="s">
        <v>55</v>
      </c>
      <c r="I247" s="77" t="s">
        <v>56</v>
      </c>
      <c r="J247" s="77" t="s">
        <v>30</v>
      </c>
      <c r="K247" s="77" t="s">
        <v>63</v>
      </c>
      <c r="L247" s="77" t="s">
        <v>17</v>
      </c>
      <c r="M247" s="77" t="s">
        <v>8</v>
      </c>
    </row>
    <row r="248" spans="1:13">
      <c r="A248" s="74">
        <v>1</v>
      </c>
      <c r="B248" s="77" t="s">
        <v>81</v>
      </c>
      <c r="D248" s="77" t="s">
        <v>121</v>
      </c>
      <c r="G248" s="5" t="s">
        <v>221</v>
      </c>
      <c r="H248" s="77" t="s">
        <v>55</v>
      </c>
      <c r="I248" s="77" t="s">
        <v>56</v>
      </c>
      <c r="J248" s="77" t="s">
        <v>30</v>
      </c>
      <c r="K248" s="77" t="s">
        <v>56</v>
      </c>
      <c r="L248" s="77" t="s">
        <v>17</v>
      </c>
      <c r="M248" s="77" t="s">
        <v>8</v>
      </c>
    </row>
    <row r="249" spans="1:13">
      <c r="A249" s="74">
        <v>1</v>
      </c>
      <c r="B249" s="77" t="s">
        <v>81</v>
      </c>
      <c r="D249" s="77" t="s">
        <v>121</v>
      </c>
      <c r="G249" s="5" t="s">
        <v>221</v>
      </c>
      <c r="H249" s="77" t="s">
        <v>55</v>
      </c>
      <c r="I249" s="77" t="s">
        <v>56</v>
      </c>
      <c r="J249" s="77" t="s">
        <v>30</v>
      </c>
      <c r="K249" s="77" t="s">
        <v>64</v>
      </c>
      <c r="L249" s="77" t="s">
        <v>17</v>
      </c>
      <c r="M249" s="77" t="s">
        <v>8</v>
      </c>
    </row>
    <row r="250" spans="1:13">
      <c r="A250" s="74">
        <v>1</v>
      </c>
      <c r="B250" s="77" t="s">
        <v>81</v>
      </c>
      <c r="D250" s="77" t="s">
        <v>121</v>
      </c>
      <c r="G250" s="5" t="s">
        <v>221</v>
      </c>
      <c r="H250" s="77" t="s">
        <v>55</v>
      </c>
      <c r="I250" s="77" t="s">
        <v>56</v>
      </c>
      <c r="J250" s="77" t="s">
        <v>30</v>
      </c>
      <c r="K250" s="77" t="s">
        <v>63</v>
      </c>
      <c r="L250" s="77" t="s">
        <v>17</v>
      </c>
      <c r="M250" s="77" t="s">
        <v>8</v>
      </c>
    </row>
    <row r="251" spans="1:13" ht="28.8">
      <c r="A251" s="74">
        <v>1</v>
      </c>
      <c r="B251" s="77" t="s">
        <v>81</v>
      </c>
      <c r="D251" s="77" t="s">
        <v>121</v>
      </c>
      <c r="G251" s="5" t="s">
        <v>222</v>
      </c>
      <c r="H251" s="77" t="s">
        <v>129</v>
      </c>
      <c r="I251" s="77" t="s">
        <v>70</v>
      </c>
      <c r="J251" s="77" t="s">
        <v>19</v>
      </c>
      <c r="K251" s="77" t="s">
        <v>67</v>
      </c>
      <c r="L251" s="77" t="s">
        <v>12</v>
      </c>
      <c r="M251" s="77" t="s">
        <v>8</v>
      </c>
    </row>
    <row r="252" spans="1:13" ht="28.8">
      <c r="A252" s="74">
        <v>1</v>
      </c>
      <c r="B252" s="77" t="s">
        <v>81</v>
      </c>
      <c r="D252" s="77" t="s">
        <v>121</v>
      </c>
      <c r="G252" s="5" t="s">
        <v>222</v>
      </c>
      <c r="H252" s="77" t="s">
        <v>129</v>
      </c>
      <c r="I252" s="77" t="s">
        <v>70</v>
      </c>
      <c r="J252" s="77" t="s">
        <v>19</v>
      </c>
      <c r="K252" s="77" t="s">
        <v>62</v>
      </c>
      <c r="L252" s="77" t="s">
        <v>12</v>
      </c>
      <c r="M252" s="77" t="s">
        <v>8</v>
      </c>
    </row>
    <row r="253" spans="1:13" ht="28.8">
      <c r="A253" s="74">
        <v>1</v>
      </c>
      <c r="B253" s="77" t="s">
        <v>81</v>
      </c>
      <c r="D253" s="77" t="s">
        <v>121</v>
      </c>
      <c r="G253" s="5" t="s">
        <v>222</v>
      </c>
      <c r="H253" s="77" t="s">
        <v>129</v>
      </c>
      <c r="I253" s="77" t="s">
        <v>70</v>
      </c>
      <c r="J253" s="77" t="s">
        <v>19</v>
      </c>
      <c r="K253" s="77" t="s">
        <v>61</v>
      </c>
      <c r="L253" s="77" t="s">
        <v>12</v>
      </c>
      <c r="M253" s="77" t="s">
        <v>8</v>
      </c>
    </row>
    <row r="254" spans="1:13">
      <c r="A254" s="74">
        <v>2</v>
      </c>
      <c r="B254" s="77" t="s">
        <v>84</v>
      </c>
      <c r="D254" s="77" t="s">
        <v>121</v>
      </c>
      <c r="G254" s="5" t="s">
        <v>223</v>
      </c>
      <c r="H254" s="77" t="s">
        <v>55</v>
      </c>
      <c r="I254" s="77" t="s">
        <v>56</v>
      </c>
      <c r="J254" s="77" t="s">
        <v>30</v>
      </c>
      <c r="K254" s="77" t="s">
        <v>56</v>
      </c>
      <c r="L254" s="77" t="s">
        <v>17</v>
      </c>
      <c r="M254" s="77" t="s">
        <v>8</v>
      </c>
    </row>
    <row r="255" spans="1:13">
      <c r="A255" s="74">
        <v>2</v>
      </c>
      <c r="B255" s="77" t="s">
        <v>84</v>
      </c>
      <c r="D255" s="77" t="s">
        <v>121</v>
      </c>
      <c r="G255" s="5" t="s">
        <v>223</v>
      </c>
      <c r="H255" s="77" t="s">
        <v>55</v>
      </c>
      <c r="I255" s="77" t="s">
        <v>56</v>
      </c>
      <c r="J255" s="77" t="s">
        <v>30</v>
      </c>
      <c r="K255" s="77" t="s">
        <v>64</v>
      </c>
      <c r="L255" s="77" t="s">
        <v>17</v>
      </c>
      <c r="M255" s="77" t="s">
        <v>8</v>
      </c>
    </row>
    <row r="256" spans="1:13">
      <c r="A256" s="74">
        <v>2</v>
      </c>
      <c r="B256" s="77" t="s">
        <v>84</v>
      </c>
      <c r="D256" s="77" t="s">
        <v>121</v>
      </c>
      <c r="G256" s="5" t="s">
        <v>223</v>
      </c>
      <c r="H256" s="77" t="s">
        <v>55</v>
      </c>
      <c r="I256" s="77" t="s">
        <v>56</v>
      </c>
      <c r="J256" s="77" t="s">
        <v>30</v>
      </c>
      <c r="K256" s="77" t="s">
        <v>63</v>
      </c>
      <c r="L256" s="77" t="s">
        <v>17</v>
      </c>
      <c r="M256" s="77" t="s">
        <v>8</v>
      </c>
    </row>
    <row r="257" spans="1:13">
      <c r="A257" s="74">
        <v>2</v>
      </c>
      <c r="B257" s="77" t="s">
        <v>84</v>
      </c>
      <c r="D257" s="77" t="s">
        <v>121</v>
      </c>
      <c r="G257" s="5" t="s">
        <v>224</v>
      </c>
      <c r="H257" s="77" t="s">
        <v>55</v>
      </c>
      <c r="I257" s="77" t="s">
        <v>56</v>
      </c>
      <c r="J257" s="77" t="s">
        <v>30</v>
      </c>
      <c r="K257" s="77" t="s">
        <v>56</v>
      </c>
      <c r="L257" s="77" t="s">
        <v>17</v>
      </c>
      <c r="M257" s="77" t="s">
        <v>8</v>
      </c>
    </row>
    <row r="258" spans="1:13">
      <c r="A258" s="74">
        <v>2</v>
      </c>
      <c r="B258" s="77" t="s">
        <v>84</v>
      </c>
      <c r="D258" s="77" t="s">
        <v>121</v>
      </c>
      <c r="G258" s="5" t="s">
        <v>224</v>
      </c>
      <c r="H258" s="77" t="s">
        <v>55</v>
      </c>
      <c r="I258" s="77" t="s">
        <v>56</v>
      </c>
      <c r="J258" s="77" t="s">
        <v>30</v>
      </c>
      <c r="K258" s="77" t="s">
        <v>64</v>
      </c>
      <c r="L258" s="77" t="s">
        <v>17</v>
      </c>
      <c r="M258" s="77" t="s">
        <v>8</v>
      </c>
    </row>
    <row r="259" spans="1:13">
      <c r="A259" s="74">
        <v>2</v>
      </c>
      <c r="B259" s="77" t="s">
        <v>84</v>
      </c>
      <c r="D259" s="77" t="s">
        <v>121</v>
      </c>
      <c r="G259" s="5" t="s">
        <v>224</v>
      </c>
      <c r="H259" s="77" t="s">
        <v>55</v>
      </c>
      <c r="I259" s="77" t="s">
        <v>56</v>
      </c>
      <c r="J259" s="77" t="s">
        <v>30</v>
      </c>
      <c r="K259" s="77" t="s">
        <v>63</v>
      </c>
      <c r="L259" s="77" t="s">
        <v>17</v>
      </c>
      <c r="M259" s="77" t="s">
        <v>8</v>
      </c>
    </row>
    <row r="260" spans="1:13">
      <c r="A260" s="74">
        <v>2</v>
      </c>
      <c r="B260" s="77" t="s">
        <v>84</v>
      </c>
      <c r="D260" s="77" t="s">
        <v>121</v>
      </c>
      <c r="G260" s="5" t="s">
        <v>225</v>
      </c>
      <c r="H260" s="77" t="s">
        <v>55</v>
      </c>
      <c r="I260" s="77" t="s">
        <v>56</v>
      </c>
      <c r="J260" s="77" t="s">
        <v>30</v>
      </c>
      <c r="K260" s="77" t="s">
        <v>56</v>
      </c>
      <c r="L260" s="77" t="s">
        <v>17</v>
      </c>
      <c r="M260" s="77" t="s">
        <v>8</v>
      </c>
    </row>
    <row r="261" spans="1:13">
      <c r="A261" s="74">
        <v>2</v>
      </c>
      <c r="B261" s="77" t="s">
        <v>84</v>
      </c>
      <c r="D261" s="77" t="s">
        <v>121</v>
      </c>
      <c r="G261" s="5" t="s">
        <v>225</v>
      </c>
      <c r="H261" s="77" t="s">
        <v>55</v>
      </c>
      <c r="I261" s="77" t="s">
        <v>56</v>
      </c>
      <c r="J261" s="77" t="s">
        <v>30</v>
      </c>
      <c r="K261" s="77" t="s">
        <v>64</v>
      </c>
      <c r="L261" s="77" t="s">
        <v>17</v>
      </c>
      <c r="M261" s="77" t="s">
        <v>8</v>
      </c>
    </row>
    <row r="262" spans="1:13">
      <c r="A262" s="74">
        <v>2</v>
      </c>
      <c r="B262" s="77" t="s">
        <v>84</v>
      </c>
      <c r="D262" s="77" t="s">
        <v>121</v>
      </c>
      <c r="G262" s="5" t="s">
        <v>225</v>
      </c>
      <c r="H262" s="77" t="s">
        <v>55</v>
      </c>
      <c r="I262" s="77" t="s">
        <v>56</v>
      </c>
      <c r="J262" s="77" t="s">
        <v>30</v>
      </c>
      <c r="K262" s="77" t="s">
        <v>63</v>
      </c>
      <c r="L262" s="77" t="s">
        <v>17</v>
      </c>
      <c r="M262" s="77" t="s">
        <v>8</v>
      </c>
    </row>
    <row r="263" spans="1:13" ht="28.8">
      <c r="A263" s="74">
        <v>2</v>
      </c>
      <c r="B263" s="77" t="s">
        <v>84</v>
      </c>
      <c r="D263" s="77" t="s">
        <v>121</v>
      </c>
      <c r="G263" s="5" t="s">
        <v>226</v>
      </c>
      <c r="H263" s="77" t="s">
        <v>55</v>
      </c>
      <c r="I263" s="77" t="s">
        <v>56</v>
      </c>
      <c r="J263" s="77" t="s">
        <v>30</v>
      </c>
      <c r="K263" s="77" t="s">
        <v>56</v>
      </c>
      <c r="L263" s="77" t="s">
        <v>17</v>
      </c>
      <c r="M263" s="77" t="s">
        <v>8</v>
      </c>
    </row>
    <row r="264" spans="1:13" ht="28.8">
      <c r="A264" s="74">
        <v>2</v>
      </c>
      <c r="B264" s="77" t="s">
        <v>84</v>
      </c>
      <c r="D264" s="77" t="s">
        <v>121</v>
      </c>
      <c r="G264" s="5" t="s">
        <v>226</v>
      </c>
      <c r="H264" s="77" t="s">
        <v>55</v>
      </c>
      <c r="I264" s="77" t="s">
        <v>56</v>
      </c>
      <c r="J264" s="77" t="s">
        <v>30</v>
      </c>
      <c r="K264" s="77" t="s">
        <v>64</v>
      </c>
      <c r="L264" s="77" t="s">
        <v>17</v>
      </c>
      <c r="M264" s="77" t="s">
        <v>8</v>
      </c>
    </row>
    <row r="265" spans="1:13" ht="28.8">
      <c r="A265" s="74">
        <v>2</v>
      </c>
      <c r="B265" s="77" t="s">
        <v>84</v>
      </c>
      <c r="D265" s="77" t="s">
        <v>121</v>
      </c>
      <c r="G265" s="5" t="s">
        <v>226</v>
      </c>
      <c r="H265" s="77" t="s">
        <v>55</v>
      </c>
      <c r="I265" s="77" t="s">
        <v>56</v>
      </c>
      <c r="J265" s="77" t="s">
        <v>30</v>
      </c>
      <c r="K265" s="77" t="s">
        <v>63</v>
      </c>
      <c r="L265" s="77" t="s">
        <v>17</v>
      </c>
      <c r="M265" s="77" t="s">
        <v>8</v>
      </c>
    </row>
    <row r="266" spans="1:13">
      <c r="A266" s="74">
        <v>2</v>
      </c>
      <c r="B266" s="77" t="s">
        <v>84</v>
      </c>
      <c r="D266" s="77" t="s">
        <v>121</v>
      </c>
      <c r="G266" s="5" t="s">
        <v>227</v>
      </c>
      <c r="H266" s="77" t="s">
        <v>55</v>
      </c>
      <c r="I266" s="77" t="s">
        <v>56</v>
      </c>
      <c r="J266" s="77" t="s">
        <v>30</v>
      </c>
      <c r="K266" s="77" t="s">
        <v>56</v>
      </c>
      <c r="L266" s="77" t="s">
        <v>17</v>
      </c>
      <c r="M266" s="77" t="s">
        <v>8</v>
      </c>
    </row>
    <row r="267" spans="1:13">
      <c r="A267" s="74">
        <v>2</v>
      </c>
      <c r="B267" s="77" t="s">
        <v>84</v>
      </c>
      <c r="D267" s="77" t="s">
        <v>121</v>
      </c>
      <c r="G267" s="5" t="s">
        <v>227</v>
      </c>
      <c r="H267" s="77" t="s">
        <v>55</v>
      </c>
      <c r="I267" s="77" t="s">
        <v>56</v>
      </c>
      <c r="J267" s="77" t="s">
        <v>30</v>
      </c>
      <c r="K267" s="77" t="s">
        <v>64</v>
      </c>
      <c r="L267" s="77" t="s">
        <v>17</v>
      </c>
      <c r="M267" s="77" t="s">
        <v>8</v>
      </c>
    </row>
    <row r="268" spans="1:13">
      <c r="A268" s="74">
        <v>2</v>
      </c>
      <c r="B268" s="77" t="s">
        <v>84</v>
      </c>
      <c r="D268" s="77" t="s">
        <v>121</v>
      </c>
      <c r="G268" s="5" t="s">
        <v>227</v>
      </c>
      <c r="H268" s="77" t="s">
        <v>55</v>
      </c>
      <c r="I268" s="77" t="s">
        <v>56</v>
      </c>
      <c r="J268" s="77" t="s">
        <v>30</v>
      </c>
      <c r="K268" s="77" t="s">
        <v>63</v>
      </c>
      <c r="L268" s="77" t="s">
        <v>17</v>
      </c>
      <c r="M268" s="77" t="s">
        <v>8</v>
      </c>
    </row>
    <row r="269" spans="1:13" ht="28.8">
      <c r="A269" s="74">
        <v>2</v>
      </c>
      <c r="B269" s="77" t="s">
        <v>84</v>
      </c>
      <c r="D269" s="77" t="s">
        <v>121</v>
      </c>
      <c r="G269" s="5" t="s">
        <v>228</v>
      </c>
      <c r="H269" s="77" t="s">
        <v>55</v>
      </c>
      <c r="I269" s="77" t="s">
        <v>56</v>
      </c>
      <c r="J269" s="77" t="s">
        <v>30</v>
      </c>
      <c r="K269" s="77" t="s">
        <v>56</v>
      </c>
      <c r="L269" s="77" t="s">
        <v>17</v>
      </c>
      <c r="M269" s="77" t="s">
        <v>8</v>
      </c>
    </row>
    <row r="270" spans="1:13" ht="28.8">
      <c r="A270" s="74">
        <v>2</v>
      </c>
      <c r="B270" s="77" t="s">
        <v>84</v>
      </c>
      <c r="D270" s="77" t="s">
        <v>121</v>
      </c>
      <c r="G270" s="5" t="s">
        <v>228</v>
      </c>
      <c r="H270" s="77" t="s">
        <v>55</v>
      </c>
      <c r="I270" s="77" t="s">
        <v>56</v>
      </c>
      <c r="J270" s="77" t="s">
        <v>30</v>
      </c>
      <c r="K270" s="77" t="s">
        <v>64</v>
      </c>
      <c r="L270" s="77" t="s">
        <v>17</v>
      </c>
      <c r="M270" s="77" t="s">
        <v>8</v>
      </c>
    </row>
    <row r="271" spans="1:13" ht="28.8">
      <c r="A271" s="74">
        <v>2</v>
      </c>
      <c r="B271" s="77" t="s">
        <v>84</v>
      </c>
      <c r="D271" s="77" t="s">
        <v>121</v>
      </c>
      <c r="G271" s="5" t="s">
        <v>228</v>
      </c>
      <c r="H271" s="77" t="s">
        <v>55</v>
      </c>
      <c r="I271" s="77" t="s">
        <v>56</v>
      </c>
      <c r="J271" s="77" t="s">
        <v>30</v>
      </c>
      <c r="K271" s="77" t="s">
        <v>63</v>
      </c>
      <c r="L271" s="77" t="s">
        <v>17</v>
      </c>
      <c r="M271" s="77" t="s">
        <v>8</v>
      </c>
    </row>
    <row r="272" spans="1:13">
      <c r="A272" s="74">
        <v>2</v>
      </c>
      <c r="B272" s="77" t="s">
        <v>84</v>
      </c>
      <c r="D272" s="77" t="s">
        <v>121</v>
      </c>
      <c r="G272" s="5" t="s">
        <v>229</v>
      </c>
      <c r="H272" s="77" t="s">
        <v>55</v>
      </c>
      <c r="I272" s="77" t="s">
        <v>56</v>
      </c>
      <c r="J272" s="77" t="s">
        <v>30</v>
      </c>
      <c r="K272" s="77" t="s">
        <v>56</v>
      </c>
      <c r="L272" s="77" t="s">
        <v>17</v>
      </c>
      <c r="M272" s="77" t="s">
        <v>8</v>
      </c>
    </row>
    <row r="273" spans="1:13">
      <c r="A273" s="74">
        <v>2</v>
      </c>
      <c r="B273" s="77" t="s">
        <v>84</v>
      </c>
      <c r="D273" s="77" t="s">
        <v>121</v>
      </c>
      <c r="G273" s="5" t="s">
        <v>229</v>
      </c>
      <c r="H273" s="77" t="s">
        <v>55</v>
      </c>
      <c r="I273" s="77" t="s">
        <v>56</v>
      </c>
      <c r="J273" s="77" t="s">
        <v>30</v>
      </c>
      <c r="K273" s="77" t="s">
        <v>64</v>
      </c>
      <c r="L273" s="77" t="s">
        <v>17</v>
      </c>
      <c r="M273" s="77" t="s">
        <v>8</v>
      </c>
    </row>
    <row r="274" spans="1:13">
      <c r="A274" s="74">
        <v>2</v>
      </c>
      <c r="B274" s="77" t="s">
        <v>84</v>
      </c>
      <c r="D274" s="77" t="s">
        <v>121</v>
      </c>
      <c r="G274" s="5" t="s">
        <v>229</v>
      </c>
      <c r="H274" s="77" t="s">
        <v>55</v>
      </c>
      <c r="I274" s="77" t="s">
        <v>56</v>
      </c>
      <c r="J274" s="77" t="s">
        <v>30</v>
      </c>
      <c r="K274" s="77" t="s">
        <v>63</v>
      </c>
      <c r="L274" s="77" t="s">
        <v>17</v>
      </c>
      <c r="M274" s="77" t="s">
        <v>8</v>
      </c>
    </row>
    <row r="275" spans="1:13" ht="28.8">
      <c r="A275" s="74">
        <v>2</v>
      </c>
      <c r="B275" s="77" t="s">
        <v>84</v>
      </c>
      <c r="D275" s="77" t="s">
        <v>121</v>
      </c>
      <c r="G275" s="5" t="s">
        <v>230</v>
      </c>
      <c r="H275" s="77" t="s">
        <v>140</v>
      </c>
      <c r="I275" s="77" t="s">
        <v>141</v>
      </c>
      <c r="J275" s="77" t="s">
        <v>5</v>
      </c>
      <c r="K275" s="77" t="s">
        <v>63</v>
      </c>
      <c r="L275" s="77" t="s">
        <v>17</v>
      </c>
      <c r="M275" s="77" t="s">
        <v>8</v>
      </c>
    </row>
    <row r="276" spans="1:13" ht="28.8">
      <c r="A276" s="74">
        <v>2</v>
      </c>
      <c r="B276" s="77" t="s">
        <v>84</v>
      </c>
      <c r="D276" s="77" t="s">
        <v>121</v>
      </c>
      <c r="G276" s="5" t="s">
        <v>230</v>
      </c>
      <c r="H276" s="77" t="s">
        <v>140</v>
      </c>
      <c r="I276" s="77" t="s">
        <v>141</v>
      </c>
      <c r="J276" s="77" t="s">
        <v>5</v>
      </c>
      <c r="K276" s="77" t="s">
        <v>56</v>
      </c>
      <c r="L276" s="77" t="s">
        <v>17</v>
      </c>
      <c r="M276" s="77" t="s">
        <v>8</v>
      </c>
    </row>
    <row r="277" spans="1:13" ht="28.8">
      <c r="A277" s="74">
        <v>2</v>
      </c>
      <c r="B277" s="77" t="s">
        <v>84</v>
      </c>
      <c r="D277" s="77" t="s">
        <v>121</v>
      </c>
      <c r="G277" s="5" t="s">
        <v>230</v>
      </c>
      <c r="H277" s="77" t="s">
        <v>140</v>
      </c>
      <c r="I277" s="77" t="s">
        <v>141</v>
      </c>
      <c r="J277" s="77" t="s">
        <v>5</v>
      </c>
      <c r="K277" s="77" t="s">
        <v>64</v>
      </c>
      <c r="L277" s="77" t="s">
        <v>17</v>
      </c>
      <c r="M277" s="77" t="s">
        <v>8</v>
      </c>
    </row>
    <row r="278" spans="1:13" ht="43.2">
      <c r="A278" s="74">
        <v>2</v>
      </c>
      <c r="B278" s="77" t="s">
        <v>84</v>
      </c>
      <c r="D278" s="77" t="s">
        <v>121</v>
      </c>
      <c r="G278" s="5" t="s">
        <v>231</v>
      </c>
      <c r="H278" s="77" t="s">
        <v>129</v>
      </c>
      <c r="I278" s="77" t="s">
        <v>70</v>
      </c>
      <c r="J278" s="77" t="s">
        <v>19</v>
      </c>
      <c r="K278" s="77" t="s">
        <v>67</v>
      </c>
      <c r="L278" s="77" t="s">
        <v>12</v>
      </c>
      <c r="M278" s="77" t="s">
        <v>8</v>
      </c>
    </row>
    <row r="279" spans="1:13" ht="43.2">
      <c r="A279" s="74">
        <v>2</v>
      </c>
      <c r="B279" s="77" t="s">
        <v>84</v>
      </c>
      <c r="D279" s="77" t="s">
        <v>121</v>
      </c>
      <c r="G279" s="5" t="s">
        <v>231</v>
      </c>
      <c r="H279" s="77" t="s">
        <v>129</v>
      </c>
      <c r="I279" s="77" t="s">
        <v>70</v>
      </c>
      <c r="J279" s="77" t="s">
        <v>19</v>
      </c>
      <c r="K279" s="77" t="s">
        <v>62</v>
      </c>
      <c r="L279" s="77" t="s">
        <v>12</v>
      </c>
      <c r="M279" s="77" t="s">
        <v>8</v>
      </c>
    </row>
    <row r="280" spans="1:13" ht="43.2">
      <c r="A280" s="74">
        <v>2</v>
      </c>
      <c r="B280" s="77" t="s">
        <v>84</v>
      </c>
      <c r="D280" s="77" t="s">
        <v>121</v>
      </c>
      <c r="G280" s="5" t="s">
        <v>231</v>
      </c>
      <c r="H280" s="77" t="s">
        <v>129</v>
      </c>
      <c r="I280" s="77" t="s">
        <v>70</v>
      </c>
      <c r="J280" s="77" t="s">
        <v>19</v>
      </c>
      <c r="K280" s="77" t="s">
        <v>61</v>
      </c>
      <c r="L280" s="77" t="s">
        <v>12</v>
      </c>
      <c r="M280" s="77" t="s">
        <v>8</v>
      </c>
    </row>
    <row r="281" spans="1:13" ht="28.8">
      <c r="A281" s="74">
        <v>2</v>
      </c>
      <c r="B281" s="77" t="s">
        <v>84</v>
      </c>
      <c r="D281" s="77" t="s">
        <v>121</v>
      </c>
      <c r="G281" s="5" t="s">
        <v>232</v>
      </c>
      <c r="H281" s="77" t="s">
        <v>55</v>
      </c>
      <c r="I281" s="77" t="s">
        <v>56</v>
      </c>
      <c r="J281" s="77" t="s">
        <v>30</v>
      </c>
      <c r="K281" s="77" t="s">
        <v>56</v>
      </c>
      <c r="L281" s="77" t="s">
        <v>17</v>
      </c>
      <c r="M281" s="77" t="s">
        <v>8</v>
      </c>
    </row>
    <row r="282" spans="1:13" ht="28.8">
      <c r="A282" s="74">
        <v>2</v>
      </c>
      <c r="B282" s="77" t="s">
        <v>84</v>
      </c>
      <c r="D282" s="77" t="s">
        <v>121</v>
      </c>
      <c r="G282" s="5" t="s">
        <v>232</v>
      </c>
      <c r="H282" s="77" t="s">
        <v>55</v>
      </c>
      <c r="I282" s="77" t="s">
        <v>56</v>
      </c>
      <c r="J282" s="77" t="s">
        <v>30</v>
      </c>
      <c r="K282" s="77" t="s">
        <v>64</v>
      </c>
      <c r="L282" s="77" t="s">
        <v>17</v>
      </c>
      <c r="M282" s="77" t="s">
        <v>8</v>
      </c>
    </row>
    <row r="283" spans="1:13" ht="28.8">
      <c r="A283" s="74">
        <v>2</v>
      </c>
      <c r="B283" s="77" t="s">
        <v>84</v>
      </c>
      <c r="D283" s="77" t="s">
        <v>121</v>
      </c>
      <c r="G283" s="5" t="s">
        <v>232</v>
      </c>
      <c r="H283" s="77" t="s">
        <v>55</v>
      </c>
      <c r="I283" s="77" t="s">
        <v>56</v>
      </c>
      <c r="J283" s="77" t="s">
        <v>30</v>
      </c>
      <c r="K283" s="77" t="s">
        <v>63</v>
      </c>
      <c r="L283" s="77" t="s">
        <v>17</v>
      </c>
      <c r="M283" s="77" t="s">
        <v>8</v>
      </c>
    </row>
    <row r="284" spans="1:13" ht="28.8">
      <c r="A284" s="74">
        <v>2</v>
      </c>
      <c r="B284" s="77" t="s">
        <v>84</v>
      </c>
      <c r="D284" s="77" t="s">
        <v>121</v>
      </c>
      <c r="G284" s="5" t="s">
        <v>233</v>
      </c>
      <c r="H284" s="77" t="s">
        <v>140</v>
      </c>
      <c r="I284" s="77" t="s">
        <v>141</v>
      </c>
      <c r="J284" s="77" t="s">
        <v>5</v>
      </c>
      <c r="K284" s="77" t="s">
        <v>63</v>
      </c>
      <c r="L284" s="77" t="s">
        <v>17</v>
      </c>
      <c r="M284" s="77" t="s">
        <v>8</v>
      </c>
    </row>
    <row r="285" spans="1:13" ht="28.8">
      <c r="A285" s="74">
        <v>2</v>
      </c>
      <c r="B285" s="77" t="s">
        <v>84</v>
      </c>
      <c r="D285" s="77" t="s">
        <v>121</v>
      </c>
      <c r="G285" s="5" t="s">
        <v>233</v>
      </c>
      <c r="H285" s="77" t="s">
        <v>140</v>
      </c>
      <c r="I285" s="77" t="s">
        <v>141</v>
      </c>
      <c r="J285" s="77" t="s">
        <v>5</v>
      </c>
      <c r="K285" s="77" t="s">
        <v>56</v>
      </c>
      <c r="L285" s="77" t="s">
        <v>17</v>
      </c>
      <c r="M285" s="77" t="s">
        <v>8</v>
      </c>
    </row>
    <row r="286" spans="1:13" ht="28.8">
      <c r="A286" s="74">
        <v>2</v>
      </c>
      <c r="B286" s="77" t="s">
        <v>84</v>
      </c>
      <c r="D286" s="77" t="s">
        <v>121</v>
      </c>
      <c r="G286" s="5" t="s">
        <v>233</v>
      </c>
      <c r="H286" s="77" t="s">
        <v>140</v>
      </c>
      <c r="I286" s="77" t="s">
        <v>141</v>
      </c>
      <c r="J286" s="77" t="s">
        <v>5</v>
      </c>
      <c r="K286" s="77" t="s">
        <v>64</v>
      </c>
      <c r="L286" s="77" t="s">
        <v>17</v>
      </c>
      <c r="M286" s="77" t="s">
        <v>8</v>
      </c>
    </row>
    <row r="287" spans="1:13" ht="43.2">
      <c r="A287" s="74">
        <v>2</v>
      </c>
      <c r="B287" s="77" t="s">
        <v>84</v>
      </c>
      <c r="D287" s="77" t="s">
        <v>121</v>
      </c>
      <c r="G287" s="5" t="s">
        <v>234</v>
      </c>
      <c r="H287" s="77" t="s">
        <v>55</v>
      </c>
      <c r="I287" s="77" t="s">
        <v>56</v>
      </c>
      <c r="J287" s="77" t="s">
        <v>30</v>
      </c>
      <c r="K287" s="77" t="s">
        <v>56</v>
      </c>
      <c r="L287" s="77" t="s">
        <v>17</v>
      </c>
      <c r="M287" s="77" t="s">
        <v>8</v>
      </c>
    </row>
    <row r="288" spans="1:13" ht="43.2">
      <c r="A288" s="74">
        <v>2</v>
      </c>
      <c r="B288" s="77" t="s">
        <v>84</v>
      </c>
      <c r="D288" s="77" t="s">
        <v>121</v>
      </c>
      <c r="G288" s="5" t="s">
        <v>234</v>
      </c>
      <c r="H288" s="77" t="s">
        <v>55</v>
      </c>
      <c r="I288" s="77" t="s">
        <v>56</v>
      </c>
      <c r="J288" s="77" t="s">
        <v>30</v>
      </c>
      <c r="K288" s="77" t="s">
        <v>64</v>
      </c>
      <c r="L288" s="77" t="s">
        <v>17</v>
      </c>
      <c r="M288" s="77" t="s">
        <v>8</v>
      </c>
    </row>
    <row r="289" spans="1:13" ht="43.2">
      <c r="A289" s="74">
        <v>2</v>
      </c>
      <c r="B289" s="77" t="s">
        <v>84</v>
      </c>
      <c r="D289" s="77" t="s">
        <v>121</v>
      </c>
      <c r="G289" s="5" t="s">
        <v>234</v>
      </c>
      <c r="H289" s="77" t="s">
        <v>55</v>
      </c>
      <c r="I289" s="77" t="s">
        <v>56</v>
      </c>
      <c r="J289" s="77" t="s">
        <v>30</v>
      </c>
      <c r="K289" s="77" t="s">
        <v>63</v>
      </c>
      <c r="L289" s="77" t="s">
        <v>17</v>
      </c>
      <c r="M289" s="77" t="s">
        <v>8</v>
      </c>
    </row>
    <row r="290" spans="1:13">
      <c r="A290" s="74">
        <v>10</v>
      </c>
      <c r="B290" s="77" t="s">
        <v>101</v>
      </c>
      <c r="D290" s="77" t="s">
        <v>121</v>
      </c>
      <c r="G290" s="5" t="s">
        <v>235</v>
      </c>
      <c r="H290" s="77" t="s">
        <v>55</v>
      </c>
      <c r="I290" s="77" t="s">
        <v>56</v>
      </c>
      <c r="J290" s="77" t="s">
        <v>30</v>
      </c>
      <c r="K290" s="77" t="s">
        <v>56</v>
      </c>
      <c r="L290" s="77" t="s">
        <v>17</v>
      </c>
      <c r="M290" s="77" t="s">
        <v>8</v>
      </c>
    </row>
    <row r="291" spans="1:13">
      <c r="A291" s="74">
        <v>10</v>
      </c>
      <c r="B291" s="77" t="s">
        <v>101</v>
      </c>
      <c r="D291" s="77" t="s">
        <v>121</v>
      </c>
      <c r="G291" s="5" t="s">
        <v>235</v>
      </c>
      <c r="H291" s="77" t="s">
        <v>55</v>
      </c>
      <c r="I291" s="77" t="s">
        <v>56</v>
      </c>
      <c r="J291" s="77" t="s">
        <v>30</v>
      </c>
      <c r="K291" s="77" t="s">
        <v>64</v>
      </c>
      <c r="L291" s="77" t="s">
        <v>17</v>
      </c>
      <c r="M291" s="77" t="s">
        <v>8</v>
      </c>
    </row>
    <row r="292" spans="1:13">
      <c r="A292" s="74">
        <v>10</v>
      </c>
      <c r="B292" s="77" t="s">
        <v>101</v>
      </c>
      <c r="D292" s="77" t="s">
        <v>121</v>
      </c>
      <c r="G292" s="5" t="s">
        <v>235</v>
      </c>
      <c r="H292" s="77" t="s">
        <v>55</v>
      </c>
      <c r="I292" s="77" t="s">
        <v>56</v>
      </c>
      <c r="J292" s="77" t="s">
        <v>30</v>
      </c>
      <c r="K292" s="77" t="s">
        <v>63</v>
      </c>
      <c r="L292" s="77" t="s">
        <v>17</v>
      </c>
      <c r="M292" s="77" t="s">
        <v>8</v>
      </c>
    </row>
    <row r="293" spans="1:13">
      <c r="A293" s="74">
        <v>10</v>
      </c>
      <c r="B293" s="77" t="s">
        <v>101</v>
      </c>
      <c r="D293" s="77" t="s">
        <v>121</v>
      </c>
      <c r="G293" s="5" t="s">
        <v>236</v>
      </c>
      <c r="H293" s="77" t="s">
        <v>138</v>
      </c>
      <c r="I293" s="77" t="s">
        <v>69</v>
      </c>
      <c r="J293" s="77" t="s">
        <v>10</v>
      </c>
      <c r="K293" s="77" t="s">
        <v>61</v>
      </c>
      <c r="L293" s="77" t="s">
        <v>12</v>
      </c>
      <c r="M293" s="77" t="s">
        <v>8</v>
      </c>
    </row>
    <row r="294" spans="1:13">
      <c r="A294" s="74">
        <v>10</v>
      </c>
      <c r="B294" s="77" t="s">
        <v>101</v>
      </c>
      <c r="D294" s="77" t="s">
        <v>121</v>
      </c>
      <c r="G294" s="5" t="s">
        <v>236</v>
      </c>
      <c r="H294" s="77" t="s">
        <v>138</v>
      </c>
      <c r="I294" s="77" t="s">
        <v>69</v>
      </c>
      <c r="J294" s="77" t="s">
        <v>10</v>
      </c>
      <c r="K294" s="77" t="s">
        <v>63</v>
      </c>
      <c r="L294" s="77" t="s">
        <v>12</v>
      </c>
      <c r="M294" s="77" t="s">
        <v>8</v>
      </c>
    </row>
    <row r="295" spans="1:13">
      <c r="A295" s="74">
        <v>10</v>
      </c>
      <c r="B295" s="77" t="s">
        <v>101</v>
      </c>
      <c r="D295" s="77" t="s">
        <v>121</v>
      </c>
      <c r="G295" s="5" t="s">
        <v>236</v>
      </c>
      <c r="H295" s="77" t="s">
        <v>138</v>
      </c>
      <c r="I295" s="77" t="s">
        <v>69</v>
      </c>
      <c r="J295" s="77" t="s">
        <v>10</v>
      </c>
      <c r="K295" s="77" t="s">
        <v>64</v>
      </c>
      <c r="L295" s="77" t="s">
        <v>12</v>
      </c>
      <c r="M295" s="77" t="s">
        <v>8</v>
      </c>
    </row>
    <row r="296" spans="1:13">
      <c r="A296" s="74">
        <v>10</v>
      </c>
      <c r="B296" s="77" t="s">
        <v>101</v>
      </c>
      <c r="D296" s="77" t="s">
        <v>121</v>
      </c>
      <c r="G296" s="5" t="s">
        <v>237</v>
      </c>
      <c r="H296" s="77" t="s">
        <v>55</v>
      </c>
      <c r="I296" s="77" t="s">
        <v>56</v>
      </c>
      <c r="J296" s="77" t="s">
        <v>30</v>
      </c>
      <c r="K296" s="77" t="s">
        <v>56</v>
      </c>
      <c r="L296" s="77" t="s">
        <v>17</v>
      </c>
      <c r="M296" s="77" t="s">
        <v>8</v>
      </c>
    </row>
    <row r="297" spans="1:13">
      <c r="A297" s="74">
        <v>10</v>
      </c>
      <c r="B297" s="77" t="s">
        <v>101</v>
      </c>
      <c r="D297" s="77" t="s">
        <v>121</v>
      </c>
      <c r="G297" s="5" t="s">
        <v>237</v>
      </c>
      <c r="H297" s="77" t="s">
        <v>55</v>
      </c>
      <c r="I297" s="77" t="s">
        <v>56</v>
      </c>
      <c r="J297" s="77" t="s">
        <v>30</v>
      </c>
      <c r="K297" s="77" t="s">
        <v>64</v>
      </c>
      <c r="L297" s="77" t="s">
        <v>17</v>
      </c>
      <c r="M297" s="77" t="s">
        <v>8</v>
      </c>
    </row>
    <row r="298" spans="1:13">
      <c r="A298" s="74">
        <v>10</v>
      </c>
      <c r="B298" s="77" t="s">
        <v>101</v>
      </c>
      <c r="D298" s="77" t="s">
        <v>121</v>
      </c>
      <c r="G298" s="5" t="s">
        <v>237</v>
      </c>
      <c r="H298" s="77" t="s">
        <v>55</v>
      </c>
      <c r="I298" s="77" t="s">
        <v>56</v>
      </c>
      <c r="J298" s="77" t="s">
        <v>30</v>
      </c>
      <c r="K298" s="77" t="s">
        <v>63</v>
      </c>
      <c r="L298" s="77" t="s">
        <v>17</v>
      </c>
      <c r="M298" s="77" t="s">
        <v>8</v>
      </c>
    </row>
    <row r="299" spans="1:13">
      <c r="A299" s="74">
        <v>10</v>
      </c>
      <c r="B299" s="77" t="s">
        <v>101</v>
      </c>
      <c r="D299" s="77" t="s">
        <v>121</v>
      </c>
      <c r="G299" s="5" t="s">
        <v>238</v>
      </c>
      <c r="H299" s="77" t="s">
        <v>55</v>
      </c>
      <c r="I299" s="77" t="s">
        <v>56</v>
      </c>
      <c r="J299" s="77" t="s">
        <v>30</v>
      </c>
      <c r="K299" s="77" t="s">
        <v>56</v>
      </c>
      <c r="L299" s="77" t="s">
        <v>17</v>
      </c>
      <c r="M299" s="77" t="s">
        <v>8</v>
      </c>
    </row>
    <row r="300" spans="1:13">
      <c r="A300" s="74">
        <v>10</v>
      </c>
      <c r="B300" s="77" t="s">
        <v>101</v>
      </c>
      <c r="D300" s="77" t="s">
        <v>121</v>
      </c>
      <c r="G300" s="5" t="s">
        <v>238</v>
      </c>
      <c r="H300" s="77" t="s">
        <v>55</v>
      </c>
      <c r="I300" s="77" t="s">
        <v>56</v>
      </c>
      <c r="J300" s="77" t="s">
        <v>30</v>
      </c>
      <c r="K300" s="77" t="s">
        <v>64</v>
      </c>
      <c r="L300" s="77" t="s">
        <v>17</v>
      </c>
      <c r="M300" s="77" t="s">
        <v>8</v>
      </c>
    </row>
    <row r="301" spans="1:13">
      <c r="A301" s="74">
        <v>10</v>
      </c>
      <c r="B301" s="77" t="s">
        <v>101</v>
      </c>
      <c r="D301" s="77" t="s">
        <v>121</v>
      </c>
      <c r="G301" s="5" t="s">
        <v>238</v>
      </c>
      <c r="H301" s="77" t="s">
        <v>55</v>
      </c>
      <c r="I301" s="77" t="s">
        <v>56</v>
      </c>
      <c r="J301" s="77" t="s">
        <v>30</v>
      </c>
      <c r="K301" s="77" t="s">
        <v>63</v>
      </c>
      <c r="L301" s="77" t="s">
        <v>17</v>
      </c>
      <c r="M301" s="77" t="s">
        <v>8</v>
      </c>
    </row>
    <row r="302" spans="1:13">
      <c r="A302" s="74">
        <v>10</v>
      </c>
      <c r="B302" s="77" t="s">
        <v>101</v>
      </c>
      <c r="D302" s="77" t="s">
        <v>121</v>
      </c>
      <c r="G302" s="5" t="s">
        <v>239</v>
      </c>
      <c r="H302" s="77" t="s">
        <v>169</v>
      </c>
      <c r="I302" s="77" t="s">
        <v>72</v>
      </c>
      <c r="J302" s="77" t="s">
        <v>23</v>
      </c>
      <c r="K302" s="77" t="s">
        <v>66</v>
      </c>
      <c r="L302" s="77" t="s">
        <v>17</v>
      </c>
      <c r="M302" s="77" t="s">
        <v>8</v>
      </c>
    </row>
    <row r="303" spans="1:13">
      <c r="A303" s="74">
        <v>10</v>
      </c>
      <c r="B303" s="77" t="s">
        <v>101</v>
      </c>
      <c r="D303" s="77" t="s">
        <v>121</v>
      </c>
      <c r="G303" s="5" t="s">
        <v>239</v>
      </c>
      <c r="H303" s="77" t="s">
        <v>169</v>
      </c>
      <c r="I303" s="77" t="s">
        <v>72</v>
      </c>
      <c r="J303" s="77" t="s">
        <v>23</v>
      </c>
      <c r="K303" s="77" t="s">
        <v>62</v>
      </c>
      <c r="L303" s="77" t="s">
        <v>17</v>
      </c>
      <c r="M303" s="77" t="s">
        <v>8</v>
      </c>
    </row>
    <row r="304" spans="1:13">
      <c r="A304" s="74">
        <v>10</v>
      </c>
      <c r="B304" s="77" t="s">
        <v>101</v>
      </c>
      <c r="D304" s="77" t="s">
        <v>121</v>
      </c>
      <c r="G304" s="5" t="s">
        <v>239</v>
      </c>
      <c r="H304" s="77" t="s">
        <v>169</v>
      </c>
      <c r="I304" s="77" t="s">
        <v>72</v>
      </c>
      <c r="J304" s="77" t="s">
        <v>23</v>
      </c>
      <c r="K304" s="77" t="s">
        <v>61</v>
      </c>
      <c r="L304" s="77" t="s">
        <v>17</v>
      </c>
      <c r="M304" s="77" t="s">
        <v>8</v>
      </c>
    </row>
    <row r="305" spans="1:13">
      <c r="A305" s="74">
        <v>10</v>
      </c>
      <c r="B305" s="77" t="s">
        <v>101</v>
      </c>
      <c r="D305" s="77" t="s">
        <v>121</v>
      </c>
      <c r="G305" s="5" t="s">
        <v>240</v>
      </c>
      <c r="H305" s="77" t="s">
        <v>55</v>
      </c>
      <c r="I305" s="77" t="s">
        <v>56</v>
      </c>
      <c r="J305" s="77" t="s">
        <v>30</v>
      </c>
      <c r="K305" s="77" t="s">
        <v>56</v>
      </c>
      <c r="L305" s="77" t="s">
        <v>17</v>
      </c>
      <c r="M305" s="77" t="s">
        <v>8</v>
      </c>
    </row>
    <row r="306" spans="1:13">
      <c r="A306" s="74">
        <v>10</v>
      </c>
      <c r="B306" s="77" t="s">
        <v>101</v>
      </c>
      <c r="D306" s="77" t="s">
        <v>121</v>
      </c>
      <c r="G306" s="5" t="s">
        <v>240</v>
      </c>
      <c r="H306" s="77" t="s">
        <v>55</v>
      </c>
      <c r="I306" s="77" t="s">
        <v>56</v>
      </c>
      <c r="J306" s="77" t="s">
        <v>30</v>
      </c>
      <c r="K306" s="77" t="s">
        <v>64</v>
      </c>
      <c r="L306" s="77" t="s">
        <v>17</v>
      </c>
      <c r="M306" s="77" t="s">
        <v>8</v>
      </c>
    </row>
    <row r="307" spans="1:13">
      <c r="A307" s="74">
        <v>10</v>
      </c>
      <c r="B307" s="77" t="s">
        <v>101</v>
      </c>
      <c r="D307" s="77" t="s">
        <v>121</v>
      </c>
      <c r="G307" s="5" t="s">
        <v>240</v>
      </c>
      <c r="H307" s="77" t="s">
        <v>55</v>
      </c>
      <c r="I307" s="77" t="s">
        <v>56</v>
      </c>
      <c r="J307" s="77" t="s">
        <v>30</v>
      </c>
      <c r="K307" s="77" t="s">
        <v>63</v>
      </c>
      <c r="L307" s="77" t="s">
        <v>17</v>
      </c>
      <c r="M307" s="77" t="s">
        <v>8</v>
      </c>
    </row>
    <row r="308" spans="1:13">
      <c r="A308" s="74">
        <v>10</v>
      </c>
      <c r="B308" s="77" t="s">
        <v>101</v>
      </c>
      <c r="D308" s="77" t="s">
        <v>121</v>
      </c>
      <c r="G308" s="5" t="s">
        <v>241</v>
      </c>
      <c r="H308" s="77" t="s">
        <v>138</v>
      </c>
      <c r="I308" s="77" t="s">
        <v>69</v>
      </c>
      <c r="J308" s="77" t="s">
        <v>10</v>
      </c>
      <c r="K308" s="77" t="s">
        <v>61</v>
      </c>
      <c r="L308" s="77" t="s">
        <v>12</v>
      </c>
      <c r="M308" s="77" t="s">
        <v>8</v>
      </c>
    </row>
    <row r="309" spans="1:13">
      <c r="A309" s="74">
        <v>10</v>
      </c>
      <c r="B309" s="77" t="s">
        <v>101</v>
      </c>
      <c r="D309" s="77" t="s">
        <v>121</v>
      </c>
      <c r="G309" s="5" t="s">
        <v>241</v>
      </c>
      <c r="H309" s="77" t="s">
        <v>138</v>
      </c>
      <c r="I309" s="77" t="s">
        <v>69</v>
      </c>
      <c r="J309" s="77" t="s">
        <v>10</v>
      </c>
      <c r="K309" s="77" t="s">
        <v>63</v>
      </c>
      <c r="L309" s="77" t="s">
        <v>12</v>
      </c>
      <c r="M309" s="77" t="s">
        <v>8</v>
      </c>
    </row>
    <row r="310" spans="1:13">
      <c r="A310" s="74">
        <v>10</v>
      </c>
      <c r="B310" s="77" t="s">
        <v>101</v>
      </c>
      <c r="D310" s="77" t="s">
        <v>121</v>
      </c>
      <c r="G310" s="5" t="s">
        <v>241</v>
      </c>
      <c r="H310" s="77" t="s">
        <v>138</v>
      </c>
      <c r="I310" s="77" t="s">
        <v>69</v>
      </c>
      <c r="J310" s="77" t="s">
        <v>10</v>
      </c>
      <c r="K310" s="77" t="s">
        <v>64</v>
      </c>
      <c r="L310" s="77" t="s">
        <v>12</v>
      </c>
      <c r="M310" s="77" t="s">
        <v>8</v>
      </c>
    </row>
    <row r="311" spans="1:13">
      <c r="A311" s="74">
        <v>10</v>
      </c>
      <c r="B311" s="77" t="s">
        <v>101</v>
      </c>
      <c r="D311" s="77" t="s">
        <v>121</v>
      </c>
      <c r="G311" s="5" t="s">
        <v>242</v>
      </c>
      <c r="H311" s="77" t="s">
        <v>140</v>
      </c>
      <c r="I311" s="77" t="s">
        <v>141</v>
      </c>
      <c r="J311" s="77" t="s">
        <v>5</v>
      </c>
      <c r="K311" s="77" t="s">
        <v>63</v>
      </c>
      <c r="L311" s="77" t="s">
        <v>17</v>
      </c>
      <c r="M311" s="77" t="s">
        <v>8</v>
      </c>
    </row>
    <row r="312" spans="1:13">
      <c r="A312" s="74">
        <v>10</v>
      </c>
      <c r="B312" s="77" t="s">
        <v>101</v>
      </c>
      <c r="D312" s="77" t="s">
        <v>121</v>
      </c>
      <c r="G312" s="5" t="s">
        <v>242</v>
      </c>
      <c r="H312" s="77" t="s">
        <v>140</v>
      </c>
      <c r="I312" s="77" t="s">
        <v>141</v>
      </c>
      <c r="J312" s="77" t="s">
        <v>5</v>
      </c>
      <c r="K312" s="77" t="s">
        <v>56</v>
      </c>
      <c r="L312" s="77" t="s">
        <v>17</v>
      </c>
      <c r="M312" s="77" t="s">
        <v>8</v>
      </c>
    </row>
    <row r="313" spans="1:13">
      <c r="A313" s="74">
        <v>10</v>
      </c>
      <c r="B313" s="77" t="s">
        <v>101</v>
      </c>
      <c r="D313" s="77" t="s">
        <v>121</v>
      </c>
      <c r="G313" s="5" t="s">
        <v>242</v>
      </c>
      <c r="H313" s="77" t="s">
        <v>140</v>
      </c>
      <c r="I313" s="77" t="s">
        <v>141</v>
      </c>
      <c r="J313" s="77" t="s">
        <v>5</v>
      </c>
      <c r="K313" s="77" t="s">
        <v>64</v>
      </c>
      <c r="L313" s="77" t="s">
        <v>17</v>
      </c>
      <c r="M313" s="77" t="s">
        <v>8</v>
      </c>
    </row>
    <row r="314" spans="1:13">
      <c r="A314" s="74">
        <v>10</v>
      </c>
      <c r="B314" s="77" t="s">
        <v>101</v>
      </c>
      <c r="D314" s="77" t="s">
        <v>121</v>
      </c>
      <c r="G314" s="5" t="s">
        <v>243</v>
      </c>
      <c r="H314" s="77" t="s">
        <v>55</v>
      </c>
      <c r="I314" s="77" t="s">
        <v>56</v>
      </c>
      <c r="J314" s="77" t="s">
        <v>30</v>
      </c>
      <c r="K314" s="77" t="s">
        <v>56</v>
      </c>
      <c r="L314" s="77" t="s">
        <v>17</v>
      </c>
      <c r="M314" s="77" t="s">
        <v>8</v>
      </c>
    </row>
    <row r="315" spans="1:13">
      <c r="A315" s="74">
        <v>10</v>
      </c>
      <c r="B315" s="77" t="s">
        <v>101</v>
      </c>
      <c r="D315" s="77" t="s">
        <v>121</v>
      </c>
      <c r="G315" s="5" t="s">
        <v>243</v>
      </c>
      <c r="H315" s="77" t="s">
        <v>55</v>
      </c>
      <c r="I315" s="77" t="s">
        <v>56</v>
      </c>
      <c r="J315" s="77" t="s">
        <v>30</v>
      </c>
      <c r="K315" s="77" t="s">
        <v>64</v>
      </c>
      <c r="L315" s="77" t="s">
        <v>17</v>
      </c>
      <c r="M315" s="77" t="s">
        <v>8</v>
      </c>
    </row>
    <row r="316" spans="1:13">
      <c r="A316" s="74">
        <v>10</v>
      </c>
      <c r="B316" s="77" t="s">
        <v>101</v>
      </c>
      <c r="D316" s="77" t="s">
        <v>121</v>
      </c>
      <c r="G316" s="5" t="s">
        <v>243</v>
      </c>
      <c r="H316" s="77" t="s">
        <v>55</v>
      </c>
      <c r="I316" s="77" t="s">
        <v>56</v>
      </c>
      <c r="J316" s="77" t="s">
        <v>30</v>
      </c>
      <c r="K316" s="77" t="s">
        <v>63</v>
      </c>
      <c r="L316" s="77" t="s">
        <v>17</v>
      </c>
      <c r="M316" s="77" t="s">
        <v>8</v>
      </c>
    </row>
    <row r="317" spans="1:13" ht="28.8">
      <c r="A317" s="74">
        <v>11</v>
      </c>
      <c r="B317" s="77" t="s">
        <v>244</v>
      </c>
      <c r="D317" s="77" t="s">
        <v>121</v>
      </c>
      <c r="G317" s="5" t="s">
        <v>245</v>
      </c>
      <c r="H317" s="77" t="s">
        <v>125</v>
      </c>
      <c r="I317" s="77" t="s">
        <v>126</v>
      </c>
      <c r="J317" s="77" t="s">
        <v>15</v>
      </c>
      <c r="K317" s="77" t="s">
        <v>62</v>
      </c>
      <c r="L317" s="77" t="s">
        <v>17</v>
      </c>
      <c r="M317" s="77" t="s">
        <v>8</v>
      </c>
    </row>
    <row r="318" spans="1:13" ht="28.8">
      <c r="A318" s="74">
        <v>11</v>
      </c>
      <c r="B318" s="77" t="s">
        <v>244</v>
      </c>
      <c r="D318" s="77" t="s">
        <v>121</v>
      </c>
      <c r="G318" s="5" t="s">
        <v>245</v>
      </c>
      <c r="H318" s="77" t="s">
        <v>125</v>
      </c>
      <c r="I318" s="77" t="s">
        <v>126</v>
      </c>
      <c r="J318" s="77" t="s">
        <v>15</v>
      </c>
      <c r="K318" s="77" t="s">
        <v>63</v>
      </c>
      <c r="L318" s="77" t="s">
        <v>17</v>
      </c>
      <c r="M318" s="77" t="s">
        <v>8</v>
      </c>
    </row>
    <row r="319" spans="1:13" ht="28.8">
      <c r="A319" s="74">
        <v>11</v>
      </c>
      <c r="B319" s="77" t="s">
        <v>244</v>
      </c>
      <c r="D319" s="77" t="s">
        <v>121</v>
      </c>
      <c r="G319" s="5" t="s">
        <v>245</v>
      </c>
      <c r="H319" s="77" t="s">
        <v>125</v>
      </c>
      <c r="I319" s="77" t="s">
        <v>126</v>
      </c>
      <c r="J319" s="77" t="s">
        <v>15</v>
      </c>
      <c r="K319" s="77" t="s">
        <v>65</v>
      </c>
      <c r="L319" s="77" t="s">
        <v>17</v>
      </c>
      <c r="M319" s="77" t="s">
        <v>8</v>
      </c>
    </row>
    <row r="320" spans="1:13">
      <c r="A320" s="74">
        <v>11</v>
      </c>
      <c r="B320" s="77" t="s">
        <v>244</v>
      </c>
      <c r="D320" s="77" t="s">
        <v>121</v>
      </c>
      <c r="G320" s="5" t="s">
        <v>246</v>
      </c>
      <c r="H320" s="77" t="s">
        <v>55</v>
      </c>
      <c r="I320" s="77" t="s">
        <v>56</v>
      </c>
      <c r="J320" s="77" t="s">
        <v>30</v>
      </c>
      <c r="K320" s="77" t="s">
        <v>56</v>
      </c>
      <c r="L320" s="77" t="s">
        <v>17</v>
      </c>
      <c r="M320" s="77" t="s">
        <v>8</v>
      </c>
    </row>
    <row r="321" spans="1:13">
      <c r="A321" s="74">
        <v>11</v>
      </c>
      <c r="B321" s="77" t="s">
        <v>244</v>
      </c>
      <c r="D321" s="77" t="s">
        <v>121</v>
      </c>
      <c r="G321" s="5" t="s">
        <v>246</v>
      </c>
      <c r="H321" s="77" t="s">
        <v>55</v>
      </c>
      <c r="I321" s="77" t="s">
        <v>56</v>
      </c>
      <c r="J321" s="77" t="s">
        <v>30</v>
      </c>
      <c r="K321" s="77" t="s">
        <v>64</v>
      </c>
      <c r="L321" s="77" t="s">
        <v>17</v>
      </c>
      <c r="M321" s="77" t="s">
        <v>8</v>
      </c>
    </row>
    <row r="322" spans="1:13">
      <c r="A322" s="74">
        <v>11</v>
      </c>
      <c r="B322" s="77" t="s">
        <v>244</v>
      </c>
      <c r="D322" s="77" t="s">
        <v>121</v>
      </c>
      <c r="G322" s="5" t="s">
        <v>246</v>
      </c>
      <c r="H322" s="77" t="s">
        <v>55</v>
      </c>
      <c r="I322" s="77" t="s">
        <v>56</v>
      </c>
      <c r="J322" s="77" t="s">
        <v>30</v>
      </c>
      <c r="K322" s="77" t="s">
        <v>63</v>
      </c>
      <c r="L322" s="77" t="s">
        <v>17</v>
      </c>
      <c r="M322" s="77" t="s">
        <v>8</v>
      </c>
    </row>
    <row r="323" spans="1:13" ht="28.8">
      <c r="A323" s="74">
        <v>11</v>
      </c>
      <c r="B323" s="77" t="s">
        <v>244</v>
      </c>
      <c r="D323" s="77" t="s">
        <v>121</v>
      </c>
      <c r="G323" s="5" t="s">
        <v>247</v>
      </c>
      <c r="H323" s="77" t="s">
        <v>150</v>
      </c>
      <c r="I323" s="77" t="s">
        <v>71</v>
      </c>
      <c r="J323" s="77" t="s">
        <v>28</v>
      </c>
      <c r="K323" s="77" t="s">
        <v>133</v>
      </c>
      <c r="L323" s="77" t="s">
        <v>17</v>
      </c>
      <c r="M323" s="77" t="s">
        <v>8</v>
      </c>
    </row>
    <row r="324" spans="1:13" ht="28.8">
      <c r="A324" s="74">
        <v>11</v>
      </c>
      <c r="B324" s="77" t="s">
        <v>244</v>
      </c>
      <c r="D324" s="77" t="s">
        <v>121</v>
      </c>
      <c r="G324" s="5" t="s">
        <v>247</v>
      </c>
      <c r="H324" s="77" t="s">
        <v>150</v>
      </c>
      <c r="I324" s="77" t="s">
        <v>71</v>
      </c>
      <c r="J324" s="77" t="s">
        <v>28</v>
      </c>
      <c r="K324" s="77" t="s">
        <v>56</v>
      </c>
      <c r="L324" s="77" t="s">
        <v>17</v>
      </c>
      <c r="M324" s="77" t="s">
        <v>8</v>
      </c>
    </row>
    <row r="325" spans="1:13" ht="28.8">
      <c r="A325" s="74">
        <v>11</v>
      </c>
      <c r="B325" s="77" t="s">
        <v>244</v>
      </c>
      <c r="D325" s="77" t="s">
        <v>121</v>
      </c>
      <c r="G325" s="5" t="s">
        <v>247</v>
      </c>
      <c r="H325" s="77" t="s">
        <v>150</v>
      </c>
      <c r="I325" s="77" t="s">
        <v>71</v>
      </c>
      <c r="J325" s="77" t="s">
        <v>28</v>
      </c>
      <c r="K325" s="77" t="s">
        <v>64</v>
      </c>
      <c r="L325" s="77" t="s">
        <v>17</v>
      </c>
      <c r="M325" s="77" t="s">
        <v>8</v>
      </c>
    </row>
    <row r="326" spans="1:13">
      <c r="A326" s="74">
        <v>11</v>
      </c>
      <c r="B326" s="77" t="s">
        <v>244</v>
      </c>
      <c r="D326" s="77" t="s">
        <v>121</v>
      </c>
      <c r="G326" s="5" t="s">
        <v>248</v>
      </c>
      <c r="H326" s="77" t="s">
        <v>55</v>
      </c>
      <c r="I326" s="77" t="s">
        <v>56</v>
      </c>
      <c r="J326" s="77" t="s">
        <v>30</v>
      </c>
      <c r="K326" s="77" t="s">
        <v>56</v>
      </c>
      <c r="L326" s="77" t="s">
        <v>17</v>
      </c>
      <c r="M326" s="77" t="s">
        <v>8</v>
      </c>
    </row>
    <row r="327" spans="1:13">
      <c r="A327" s="74">
        <v>11</v>
      </c>
      <c r="B327" s="77" t="s">
        <v>244</v>
      </c>
      <c r="D327" s="77" t="s">
        <v>121</v>
      </c>
      <c r="G327" s="5" t="s">
        <v>248</v>
      </c>
      <c r="H327" s="77" t="s">
        <v>55</v>
      </c>
      <c r="I327" s="77" t="s">
        <v>56</v>
      </c>
      <c r="J327" s="77" t="s">
        <v>30</v>
      </c>
      <c r="K327" s="77" t="s">
        <v>64</v>
      </c>
      <c r="L327" s="77" t="s">
        <v>17</v>
      </c>
      <c r="M327" s="77" t="s">
        <v>8</v>
      </c>
    </row>
    <row r="328" spans="1:13">
      <c r="A328" s="74">
        <v>11</v>
      </c>
      <c r="B328" s="77" t="s">
        <v>244</v>
      </c>
      <c r="D328" s="77" t="s">
        <v>121</v>
      </c>
      <c r="G328" s="5" t="s">
        <v>248</v>
      </c>
      <c r="H328" s="77" t="s">
        <v>55</v>
      </c>
      <c r="I328" s="77" t="s">
        <v>56</v>
      </c>
      <c r="J328" s="77" t="s">
        <v>30</v>
      </c>
      <c r="K328" s="77" t="s">
        <v>63</v>
      </c>
      <c r="L328" s="77" t="s">
        <v>17</v>
      </c>
      <c r="M328" s="77" t="s">
        <v>8</v>
      </c>
    </row>
    <row r="329" spans="1:13">
      <c r="A329" s="74">
        <v>11</v>
      </c>
      <c r="B329" s="77" t="s">
        <v>244</v>
      </c>
      <c r="D329" s="77" t="s">
        <v>121</v>
      </c>
      <c r="G329" s="5" t="s">
        <v>249</v>
      </c>
      <c r="H329" s="77" t="s">
        <v>55</v>
      </c>
      <c r="I329" s="77" t="s">
        <v>56</v>
      </c>
      <c r="J329" s="77" t="s">
        <v>30</v>
      </c>
      <c r="K329" s="77" t="s">
        <v>56</v>
      </c>
      <c r="L329" s="77" t="s">
        <v>17</v>
      </c>
      <c r="M329" s="77" t="s">
        <v>8</v>
      </c>
    </row>
    <row r="330" spans="1:13">
      <c r="A330" s="74">
        <v>11</v>
      </c>
      <c r="B330" s="77" t="s">
        <v>244</v>
      </c>
      <c r="D330" s="77" t="s">
        <v>121</v>
      </c>
      <c r="G330" s="5" t="s">
        <v>249</v>
      </c>
      <c r="H330" s="77" t="s">
        <v>55</v>
      </c>
      <c r="I330" s="77" t="s">
        <v>56</v>
      </c>
      <c r="J330" s="77" t="s">
        <v>30</v>
      </c>
      <c r="K330" s="77" t="s">
        <v>64</v>
      </c>
      <c r="L330" s="77" t="s">
        <v>17</v>
      </c>
      <c r="M330" s="77" t="s">
        <v>8</v>
      </c>
    </row>
    <row r="331" spans="1:13">
      <c r="A331" s="74">
        <v>11</v>
      </c>
      <c r="B331" s="77" t="s">
        <v>244</v>
      </c>
      <c r="D331" s="77" t="s">
        <v>121</v>
      </c>
      <c r="G331" s="5" t="s">
        <v>249</v>
      </c>
      <c r="H331" s="77" t="s">
        <v>55</v>
      </c>
      <c r="I331" s="77" t="s">
        <v>56</v>
      </c>
      <c r="J331" s="77" t="s">
        <v>30</v>
      </c>
      <c r="K331" s="77" t="s">
        <v>63</v>
      </c>
      <c r="L331" s="77" t="s">
        <v>17</v>
      </c>
      <c r="M331" s="77" t="s">
        <v>8</v>
      </c>
    </row>
    <row r="332" spans="1:13">
      <c r="A332" s="74">
        <v>3</v>
      </c>
      <c r="B332" s="77" t="s">
        <v>86</v>
      </c>
      <c r="D332" s="77" t="s">
        <v>121</v>
      </c>
      <c r="G332" s="5" t="s">
        <v>250</v>
      </c>
      <c r="H332" s="77" t="s">
        <v>55</v>
      </c>
      <c r="I332" s="77" t="s">
        <v>56</v>
      </c>
      <c r="J332" s="77" t="s">
        <v>30</v>
      </c>
      <c r="K332" s="77" t="s">
        <v>56</v>
      </c>
      <c r="L332" s="77" t="s">
        <v>17</v>
      </c>
      <c r="M332" s="77" t="s">
        <v>8</v>
      </c>
    </row>
    <row r="333" spans="1:13">
      <c r="A333" s="74">
        <v>3</v>
      </c>
      <c r="B333" s="77" t="s">
        <v>86</v>
      </c>
      <c r="D333" s="77" t="s">
        <v>121</v>
      </c>
      <c r="G333" s="5" t="s">
        <v>250</v>
      </c>
      <c r="H333" s="77" t="s">
        <v>55</v>
      </c>
      <c r="I333" s="77" t="s">
        <v>56</v>
      </c>
      <c r="J333" s="77" t="s">
        <v>30</v>
      </c>
      <c r="K333" s="77" t="s">
        <v>64</v>
      </c>
      <c r="L333" s="77" t="s">
        <v>17</v>
      </c>
      <c r="M333" s="77" t="s">
        <v>8</v>
      </c>
    </row>
    <row r="334" spans="1:13">
      <c r="A334" s="74">
        <v>3</v>
      </c>
      <c r="B334" s="77" t="s">
        <v>86</v>
      </c>
      <c r="D334" s="77" t="s">
        <v>121</v>
      </c>
      <c r="G334" s="5" t="s">
        <v>250</v>
      </c>
      <c r="H334" s="77" t="s">
        <v>55</v>
      </c>
      <c r="I334" s="77" t="s">
        <v>56</v>
      </c>
      <c r="J334" s="77" t="s">
        <v>30</v>
      </c>
      <c r="K334" s="77" t="s">
        <v>63</v>
      </c>
      <c r="L334" s="77" t="s">
        <v>17</v>
      </c>
      <c r="M334" s="77" t="s">
        <v>8</v>
      </c>
    </row>
    <row r="335" spans="1:13">
      <c r="A335" s="74">
        <v>3</v>
      </c>
      <c r="B335" s="77" t="s">
        <v>86</v>
      </c>
      <c r="D335" s="77" t="s">
        <v>121</v>
      </c>
      <c r="G335" s="5" t="s">
        <v>251</v>
      </c>
      <c r="H335" s="77" t="s">
        <v>55</v>
      </c>
      <c r="I335" s="77" t="s">
        <v>56</v>
      </c>
      <c r="J335" s="77" t="s">
        <v>30</v>
      </c>
      <c r="K335" s="77" t="s">
        <v>56</v>
      </c>
      <c r="L335" s="77" t="s">
        <v>17</v>
      </c>
      <c r="M335" s="77" t="s">
        <v>8</v>
      </c>
    </row>
    <row r="336" spans="1:13">
      <c r="A336" s="74">
        <v>3</v>
      </c>
      <c r="B336" s="77" t="s">
        <v>86</v>
      </c>
      <c r="D336" s="77" t="s">
        <v>121</v>
      </c>
      <c r="G336" s="5" t="s">
        <v>251</v>
      </c>
      <c r="H336" s="77" t="s">
        <v>55</v>
      </c>
      <c r="I336" s="77" t="s">
        <v>56</v>
      </c>
      <c r="J336" s="77" t="s">
        <v>30</v>
      </c>
      <c r="K336" s="77" t="s">
        <v>64</v>
      </c>
      <c r="L336" s="77" t="s">
        <v>17</v>
      </c>
      <c r="M336" s="77" t="s">
        <v>8</v>
      </c>
    </row>
    <row r="337" spans="1:13">
      <c r="A337" s="74">
        <v>3</v>
      </c>
      <c r="B337" s="77" t="s">
        <v>86</v>
      </c>
      <c r="D337" s="77" t="s">
        <v>121</v>
      </c>
      <c r="G337" s="5" t="s">
        <v>251</v>
      </c>
      <c r="H337" s="77" t="s">
        <v>55</v>
      </c>
      <c r="I337" s="77" t="s">
        <v>56</v>
      </c>
      <c r="J337" s="77" t="s">
        <v>30</v>
      </c>
      <c r="K337" s="77" t="s">
        <v>63</v>
      </c>
      <c r="L337" s="77" t="s">
        <v>17</v>
      </c>
      <c r="M337" s="77" t="s">
        <v>8</v>
      </c>
    </row>
    <row r="338" spans="1:13">
      <c r="A338" s="74">
        <v>3</v>
      </c>
      <c r="B338" s="77" t="s">
        <v>86</v>
      </c>
      <c r="D338" s="77" t="s">
        <v>121</v>
      </c>
      <c r="G338" s="5" t="s">
        <v>252</v>
      </c>
      <c r="H338" s="77" t="s">
        <v>55</v>
      </c>
      <c r="I338" s="77" t="s">
        <v>56</v>
      </c>
      <c r="J338" s="77" t="s">
        <v>30</v>
      </c>
      <c r="K338" s="77" t="s">
        <v>56</v>
      </c>
      <c r="L338" s="77" t="s">
        <v>17</v>
      </c>
      <c r="M338" s="77" t="s">
        <v>8</v>
      </c>
    </row>
    <row r="339" spans="1:13">
      <c r="A339" s="74">
        <v>3</v>
      </c>
      <c r="B339" s="77" t="s">
        <v>86</v>
      </c>
      <c r="D339" s="77" t="s">
        <v>121</v>
      </c>
      <c r="G339" s="5" t="s">
        <v>252</v>
      </c>
      <c r="H339" s="77" t="s">
        <v>55</v>
      </c>
      <c r="I339" s="77" t="s">
        <v>56</v>
      </c>
      <c r="J339" s="77" t="s">
        <v>30</v>
      </c>
      <c r="K339" s="77" t="s">
        <v>64</v>
      </c>
      <c r="L339" s="77" t="s">
        <v>17</v>
      </c>
      <c r="M339" s="77" t="s">
        <v>8</v>
      </c>
    </row>
    <row r="340" spans="1:13">
      <c r="A340" s="74">
        <v>3</v>
      </c>
      <c r="B340" s="77" t="s">
        <v>86</v>
      </c>
      <c r="D340" s="77" t="s">
        <v>121</v>
      </c>
      <c r="G340" s="5" t="s">
        <v>252</v>
      </c>
      <c r="H340" s="77" t="s">
        <v>55</v>
      </c>
      <c r="I340" s="77" t="s">
        <v>56</v>
      </c>
      <c r="J340" s="77" t="s">
        <v>30</v>
      </c>
      <c r="K340" s="77" t="s">
        <v>63</v>
      </c>
      <c r="L340" s="77" t="s">
        <v>17</v>
      </c>
      <c r="M340" s="77" t="s">
        <v>8</v>
      </c>
    </row>
    <row r="341" spans="1:13">
      <c r="A341" s="74">
        <v>3</v>
      </c>
      <c r="B341" s="77" t="s">
        <v>86</v>
      </c>
      <c r="D341" s="77" t="s">
        <v>121</v>
      </c>
      <c r="G341" s="5" t="s">
        <v>253</v>
      </c>
      <c r="H341" s="77" t="s">
        <v>55</v>
      </c>
      <c r="I341" s="77" t="s">
        <v>56</v>
      </c>
      <c r="J341" s="77" t="s">
        <v>30</v>
      </c>
      <c r="K341" s="77" t="s">
        <v>56</v>
      </c>
      <c r="L341" s="77" t="s">
        <v>17</v>
      </c>
      <c r="M341" s="77" t="s">
        <v>8</v>
      </c>
    </row>
    <row r="342" spans="1:13">
      <c r="A342" s="74">
        <v>3</v>
      </c>
      <c r="B342" s="77" t="s">
        <v>86</v>
      </c>
      <c r="D342" s="77" t="s">
        <v>121</v>
      </c>
      <c r="G342" s="5" t="s">
        <v>253</v>
      </c>
      <c r="H342" s="77" t="s">
        <v>55</v>
      </c>
      <c r="I342" s="77" t="s">
        <v>56</v>
      </c>
      <c r="J342" s="77" t="s">
        <v>30</v>
      </c>
      <c r="K342" s="77" t="s">
        <v>64</v>
      </c>
      <c r="L342" s="77" t="s">
        <v>17</v>
      </c>
      <c r="M342" s="77" t="s">
        <v>8</v>
      </c>
    </row>
    <row r="343" spans="1:13">
      <c r="A343" s="74">
        <v>3</v>
      </c>
      <c r="B343" s="77" t="s">
        <v>86</v>
      </c>
      <c r="D343" s="77" t="s">
        <v>121</v>
      </c>
      <c r="G343" s="5" t="s">
        <v>253</v>
      </c>
      <c r="H343" s="77" t="s">
        <v>55</v>
      </c>
      <c r="I343" s="77" t="s">
        <v>56</v>
      </c>
      <c r="J343" s="77" t="s">
        <v>30</v>
      </c>
      <c r="K343" s="77" t="s">
        <v>63</v>
      </c>
      <c r="L343" s="77" t="s">
        <v>17</v>
      </c>
      <c r="M343" s="77" t="s">
        <v>8</v>
      </c>
    </row>
    <row r="344" spans="1:13">
      <c r="A344" s="74">
        <v>3</v>
      </c>
      <c r="B344" s="77" t="s">
        <v>86</v>
      </c>
      <c r="D344" s="77" t="s">
        <v>121</v>
      </c>
      <c r="G344" s="5" t="s">
        <v>254</v>
      </c>
      <c r="H344" s="77" t="s">
        <v>150</v>
      </c>
      <c r="I344" s="77" t="s">
        <v>71</v>
      </c>
      <c r="J344" s="77" t="s">
        <v>28</v>
      </c>
      <c r="K344" s="77" t="s">
        <v>133</v>
      </c>
      <c r="L344" s="77" t="s">
        <v>17</v>
      </c>
      <c r="M344" s="77" t="s">
        <v>8</v>
      </c>
    </row>
    <row r="345" spans="1:13">
      <c r="A345" s="74">
        <v>3</v>
      </c>
      <c r="B345" s="77" t="s">
        <v>86</v>
      </c>
      <c r="D345" s="77" t="s">
        <v>121</v>
      </c>
      <c r="G345" s="5" t="s">
        <v>254</v>
      </c>
      <c r="H345" s="77" t="s">
        <v>150</v>
      </c>
      <c r="I345" s="77" t="s">
        <v>71</v>
      </c>
      <c r="J345" s="77" t="s">
        <v>28</v>
      </c>
      <c r="K345" s="77" t="s">
        <v>56</v>
      </c>
      <c r="L345" s="77" t="s">
        <v>17</v>
      </c>
      <c r="M345" s="77" t="s">
        <v>8</v>
      </c>
    </row>
    <row r="346" spans="1:13">
      <c r="A346" s="74">
        <v>3</v>
      </c>
      <c r="B346" s="77" t="s">
        <v>86</v>
      </c>
      <c r="D346" s="77" t="s">
        <v>121</v>
      </c>
      <c r="G346" s="5" t="s">
        <v>254</v>
      </c>
      <c r="H346" s="77" t="s">
        <v>150</v>
      </c>
      <c r="I346" s="77" t="s">
        <v>71</v>
      </c>
      <c r="J346" s="77" t="s">
        <v>28</v>
      </c>
      <c r="K346" s="77" t="s">
        <v>64</v>
      </c>
      <c r="L346" s="77" t="s">
        <v>17</v>
      </c>
      <c r="M346" s="77" t="s">
        <v>8</v>
      </c>
    </row>
    <row r="347" spans="1:13">
      <c r="A347" s="74">
        <v>4</v>
      </c>
      <c r="B347" s="77" t="s">
        <v>88</v>
      </c>
      <c r="D347" s="77" t="s">
        <v>121</v>
      </c>
      <c r="G347" s="5" t="s">
        <v>255</v>
      </c>
      <c r="H347" s="77" t="s">
        <v>123</v>
      </c>
      <c r="I347" s="77" t="s">
        <v>69</v>
      </c>
      <c r="J347" s="77" t="s">
        <v>26</v>
      </c>
      <c r="K347" s="77" t="s">
        <v>67</v>
      </c>
      <c r="L347" s="77" t="s">
        <v>12</v>
      </c>
      <c r="M347" s="77" t="s">
        <v>8</v>
      </c>
    </row>
    <row r="348" spans="1:13">
      <c r="A348" s="74">
        <v>4</v>
      </c>
      <c r="B348" s="77" t="s">
        <v>88</v>
      </c>
      <c r="D348" s="77" t="s">
        <v>121</v>
      </c>
      <c r="G348" s="5" t="s">
        <v>255</v>
      </c>
      <c r="H348" s="77" t="s">
        <v>123</v>
      </c>
      <c r="I348" s="77" t="s">
        <v>69</v>
      </c>
      <c r="J348" s="77" t="s">
        <v>26</v>
      </c>
      <c r="K348" s="77" t="s">
        <v>61</v>
      </c>
      <c r="L348" s="77" t="s">
        <v>12</v>
      </c>
      <c r="M348" s="77" t="s">
        <v>8</v>
      </c>
    </row>
    <row r="349" spans="1:13">
      <c r="A349" s="74">
        <v>4</v>
      </c>
      <c r="B349" s="77" t="s">
        <v>88</v>
      </c>
      <c r="D349" s="77" t="s">
        <v>121</v>
      </c>
      <c r="G349" s="5" t="s">
        <v>255</v>
      </c>
      <c r="H349" s="77" t="s">
        <v>123</v>
      </c>
      <c r="I349" s="77" t="s">
        <v>69</v>
      </c>
      <c r="J349" s="77" t="s">
        <v>26</v>
      </c>
      <c r="K349" s="77" t="s">
        <v>62</v>
      </c>
      <c r="L349" s="77" t="s">
        <v>12</v>
      </c>
      <c r="M349" s="77" t="s">
        <v>8</v>
      </c>
    </row>
    <row r="350" spans="1:13">
      <c r="A350" s="74">
        <v>4</v>
      </c>
      <c r="B350" s="77" t="s">
        <v>88</v>
      </c>
      <c r="D350" s="77" t="s">
        <v>121</v>
      </c>
      <c r="G350" s="5" t="s">
        <v>256</v>
      </c>
      <c r="H350" s="77" t="s">
        <v>55</v>
      </c>
      <c r="I350" s="77" t="s">
        <v>56</v>
      </c>
      <c r="J350" s="77" t="s">
        <v>30</v>
      </c>
      <c r="K350" s="77" t="s">
        <v>56</v>
      </c>
      <c r="L350" s="77" t="s">
        <v>17</v>
      </c>
      <c r="M350" s="77" t="s">
        <v>8</v>
      </c>
    </row>
    <row r="351" spans="1:13">
      <c r="A351" s="74">
        <v>4</v>
      </c>
      <c r="B351" s="77" t="s">
        <v>88</v>
      </c>
      <c r="D351" s="77" t="s">
        <v>121</v>
      </c>
      <c r="G351" s="5" t="s">
        <v>256</v>
      </c>
      <c r="H351" s="77" t="s">
        <v>55</v>
      </c>
      <c r="I351" s="77" t="s">
        <v>56</v>
      </c>
      <c r="J351" s="77" t="s">
        <v>30</v>
      </c>
      <c r="K351" s="77" t="s">
        <v>64</v>
      </c>
      <c r="L351" s="77" t="s">
        <v>17</v>
      </c>
      <c r="M351" s="77" t="s">
        <v>8</v>
      </c>
    </row>
    <row r="352" spans="1:13">
      <c r="A352" s="74">
        <v>4</v>
      </c>
      <c r="B352" s="77" t="s">
        <v>88</v>
      </c>
      <c r="D352" s="77" t="s">
        <v>121</v>
      </c>
      <c r="G352" s="5" t="s">
        <v>256</v>
      </c>
      <c r="H352" s="77" t="s">
        <v>55</v>
      </c>
      <c r="I352" s="77" t="s">
        <v>56</v>
      </c>
      <c r="J352" s="77" t="s">
        <v>30</v>
      </c>
      <c r="K352" s="77" t="s">
        <v>63</v>
      </c>
      <c r="L352" s="77" t="s">
        <v>17</v>
      </c>
      <c r="M352" s="77" t="s">
        <v>8</v>
      </c>
    </row>
    <row r="353" spans="1:13">
      <c r="A353" s="74">
        <v>4</v>
      </c>
      <c r="B353" s="77" t="s">
        <v>88</v>
      </c>
      <c r="D353" s="77" t="s">
        <v>121</v>
      </c>
      <c r="G353" s="5" t="s">
        <v>257</v>
      </c>
      <c r="H353" s="77" t="s">
        <v>55</v>
      </c>
      <c r="I353" s="77" t="s">
        <v>56</v>
      </c>
      <c r="J353" s="77" t="s">
        <v>30</v>
      </c>
      <c r="K353" s="77" t="s">
        <v>56</v>
      </c>
      <c r="L353" s="77" t="s">
        <v>17</v>
      </c>
      <c r="M353" s="77" t="s">
        <v>8</v>
      </c>
    </row>
    <row r="354" spans="1:13">
      <c r="A354" s="74">
        <v>4</v>
      </c>
      <c r="B354" s="77" t="s">
        <v>88</v>
      </c>
      <c r="D354" s="77" t="s">
        <v>121</v>
      </c>
      <c r="G354" s="5" t="s">
        <v>257</v>
      </c>
      <c r="H354" s="77" t="s">
        <v>55</v>
      </c>
      <c r="I354" s="77" t="s">
        <v>56</v>
      </c>
      <c r="J354" s="77" t="s">
        <v>30</v>
      </c>
      <c r="K354" s="77" t="s">
        <v>64</v>
      </c>
      <c r="L354" s="77" t="s">
        <v>17</v>
      </c>
      <c r="M354" s="77" t="s">
        <v>8</v>
      </c>
    </row>
    <row r="355" spans="1:13">
      <c r="A355" s="74">
        <v>4</v>
      </c>
      <c r="B355" s="77" t="s">
        <v>88</v>
      </c>
      <c r="D355" s="77" t="s">
        <v>121</v>
      </c>
      <c r="G355" s="5" t="s">
        <v>257</v>
      </c>
      <c r="H355" s="77" t="s">
        <v>55</v>
      </c>
      <c r="I355" s="77" t="s">
        <v>56</v>
      </c>
      <c r="J355" s="77" t="s">
        <v>30</v>
      </c>
      <c r="K355" s="77" t="s">
        <v>63</v>
      </c>
      <c r="L355" s="77" t="s">
        <v>17</v>
      </c>
      <c r="M355" s="77" t="s">
        <v>8</v>
      </c>
    </row>
    <row r="356" spans="1:13">
      <c r="A356" s="74">
        <v>4</v>
      </c>
      <c r="B356" s="77" t="s">
        <v>88</v>
      </c>
      <c r="D356" s="77" t="s">
        <v>121</v>
      </c>
      <c r="G356" s="5" t="s">
        <v>258</v>
      </c>
      <c r="H356" s="77" t="s">
        <v>150</v>
      </c>
      <c r="I356" s="77" t="s">
        <v>71</v>
      </c>
      <c r="J356" s="77" t="s">
        <v>28</v>
      </c>
      <c r="K356" s="77" t="s">
        <v>133</v>
      </c>
      <c r="L356" s="77" t="s">
        <v>17</v>
      </c>
      <c r="M356" s="77" t="s">
        <v>8</v>
      </c>
    </row>
    <row r="357" spans="1:13">
      <c r="A357" s="74">
        <v>4</v>
      </c>
      <c r="B357" s="77" t="s">
        <v>88</v>
      </c>
      <c r="D357" s="77" t="s">
        <v>121</v>
      </c>
      <c r="G357" s="5" t="s">
        <v>258</v>
      </c>
      <c r="H357" s="77" t="s">
        <v>150</v>
      </c>
      <c r="I357" s="77" t="s">
        <v>71</v>
      </c>
      <c r="J357" s="77" t="s">
        <v>28</v>
      </c>
      <c r="K357" s="77" t="s">
        <v>56</v>
      </c>
      <c r="L357" s="77" t="s">
        <v>17</v>
      </c>
      <c r="M357" s="77" t="s">
        <v>8</v>
      </c>
    </row>
    <row r="358" spans="1:13">
      <c r="A358" s="74">
        <v>4</v>
      </c>
      <c r="B358" s="77" t="s">
        <v>88</v>
      </c>
      <c r="D358" s="77" t="s">
        <v>121</v>
      </c>
      <c r="G358" s="5" t="s">
        <v>258</v>
      </c>
      <c r="H358" s="77" t="s">
        <v>150</v>
      </c>
      <c r="I358" s="77" t="s">
        <v>71</v>
      </c>
      <c r="J358" s="77" t="s">
        <v>28</v>
      </c>
      <c r="K358" s="77" t="s">
        <v>64</v>
      </c>
      <c r="L358" s="77" t="s">
        <v>17</v>
      </c>
      <c r="M358" s="77" t="s">
        <v>8</v>
      </c>
    </row>
    <row r="359" spans="1:13">
      <c r="A359" s="74">
        <v>4</v>
      </c>
      <c r="B359" s="77" t="s">
        <v>88</v>
      </c>
      <c r="D359" s="77" t="s">
        <v>121</v>
      </c>
      <c r="G359" s="5" t="s">
        <v>259</v>
      </c>
      <c r="H359" s="77" t="s">
        <v>55</v>
      </c>
      <c r="I359" s="77" t="s">
        <v>56</v>
      </c>
      <c r="J359" s="77" t="s">
        <v>30</v>
      </c>
      <c r="K359" s="77" t="s">
        <v>56</v>
      </c>
      <c r="L359" s="77" t="s">
        <v>17</v>
      </c>
      <c r="M359" s="77" t="s">
        <v>8</v>
      </c>
    </row>
    <row r="360" spans="1:13">
      <c r="A360" s="74">
        <v>4</v>
      </c>
      <c r="B360" s="77" t="s">
        <v>88</v>
      </c>
      <c r="D360" s="77" t="s">
        <v>121</v>
      </c>
      <c r="G360" s="5" t="s">
        <v>259</v>
      </c>
      <c r="H360" s="77" t="s">
        <v>55</v>
      </c>
      <c r="I360" s="77" t="s">
        <v>56</v>
      </c>
      <c r="J360" s="77" t="s">
        <v>30</v>
      </c>
      <c r="K360" s="77" t="s">
        <v>64</v>
      </c>
      <c r="L360" s="77" t="s">
        <v>17</v>
      </c>
      <c r="M360" s="77" t="s">
        <v>8</v>
      </c>
    </row>
    <row r="361" spans="1:13">
      <c r="A361" s="74">
        <v>4</v>
      </c>
      <c r="B361" s="77" t="s">
        <v>88</v>
      </c>
      <c r="D361" s="77" t="s">
        <v>121</v>
      </c>
      <c r="G361" s="5" t="s">
        <v>259</v>
      </c>
      <c r="H361" s="77" t="s">
        <v>55</v>
      </c>
      <c r="I361" s="77" t="s">
        <v>56</v>
      </c>
      <c r="J361" s="77" t="s">
        <v>30</v>
      </c>
      <c r="K361" s="77" t="s">
        <v>63</v>
      </c>
      <c r="L361" s="77" t="s">
        <v>17</v>
      </c>
      <c r="M361" s="77" t="s">
        <v>8</v>
      </c>
    </row>
    <row r="362" spans="1:13">
      <c r="A362" s="74">
        <v>4</v>
      </c>
      <c r="B362" s="77" t="s">
        <v>88</v>
      </c>
      <c r="D362" s="77" t="s">
        <v>121</v>
      </c>
      <c r="G362" s="5" t="s">
        <v>260</v>
      </c>
      <c r="H362" s="77" t="s">
        <v>55</v>
      </c>
      <c r="I362" s="77" t="s">
        <v>56</v>
      </c>
      <c r="J362" s="77" t="s">
        <v>30</v>
      </c>
      <c r="K362" s="77" t="s">
        <v>56</v>
      </c>
      <c r="L362" s="77" t="s">
        <v>17</v>
      </c>
      <c r="M362" s="77" t="s">
        <v>8</v>
      </c>
    </row>
    <row r="363" spans="1:13">
      <c r="A363" s="74">
        <v>4</v>
      </c>
      <c r="B363" s="77" t="s">
        <v>88</v>
      </c>
      <c r="D363" s="77" t="s">
        <v>121</v>
      </c>
      <c r="G363" s="5" t="s">
        <v>260</v>
      </c>
      <c r="H363" s="77" t="s">
        <v>55</v>
      </c>
      <c r="I363" s="77" t="s">
        <v>56</v>
      </c>
      <c r="J363" s="77" t="s">
        <v>30</v>
      </c>
      <c r="K363" s="77" t="s">
        <v>64</v>
      </c>
      <c r="L363" s="77" t="s">
        <v>17</v>
      </c>
      <c r="M363" s="77" t="s">
        <v>8</v>
      </c>
    </row>
    <row r="364" spans="1:13">
      <c r="A364" s="74">
        <v>4</v>
      </c>
      <c r="B364" s="77" t="s">
        <v>88</v>
      </c>
      <c r="D364" s="77" t="s">
        <v>121</v>
      </c>
      <c r="G364" s="5" t="s">
        <v>260</v>
      </c>
      <c r="H364" s="77" t="s">
        <v>55</v>
      </c>
      <c r="I364" s="77" t="s">
        <v>56</v>
      </c>
      <c r="J364" s="77" t="s">
        <v>30</v>
      </c>
      <c r="K364" s="77" t="s">
        <v>63</v>
      </c>
      <c r="L364" s="77" t="s">
        <v>17</v>
      </c>
      <c r="M364" s="77" t="s">
        <v>8</v>
      </c>
    </row>
    <row r="365" spans="1:13" ht="28.8">
      <c r="A365" s="74">
        <v>4</v>
      </c>
      <c r="B365" s="77" t="s">
        <v>88</v>
      </c>
      <c r="D365" s="77" t="s">
        <v>121</v>
      </c>
      <c r="G365" s="5" t="s">
        <v>261</v>
      </c>
      <c r="H365" s="77" t="s">
        <v>125</v>
      </c>
      <c r="I365" s="77" t="s">
        <v>126</v>
      </c>
      <c r="J365" s="77" t="s">
        <v>15</v>
      </c>
      <c r="K365" s="77" t="s">
        <v>62</v>
      </c>
      <c r="L365" s="77" t="s">
        <v>17</v>
      </c>
      <c r="M365" s="77" t="s">
        <v>8</v>
      </c>
    </row>
    <row r="366" spans="1:13" ht="28.8">
      <c r="A366" s="74">
        <v>4</v>
      </c>
      <c r="B366" s="77" t="s">
        <v>88</v>
      </c>
      <c r="D366" s="77" t="s">
        <v>121</v>
      </c>
      <c r="G366" s="5" t="s">
        <v>261</v>
      </c>
      <c r="H366" s="77" t="s">
        <v>125</v>
      </c>
      <c r="I366" s="77" t="s">
        <v>126</v>
      </c>
      <c r="J366" s="77" t="s">
        <v>15</v>
      </c>
      <c r="K366" s="77" t="s">
        <v>63</v>
      </c>
      <c r="L366" s="77" t="s">
        <v>17</v>
      </c>
      <c r="M366" s="77" t="s">
        <v>8</v>
      </c>
    </row>
    <row r="367" spans="1:13" ht="28.8">
      <c r="A367" s="74">
        <v>4</v>
      </c>
      <c r="B367" s="77" t="s">
        <v>88</v>
      </c>
      <c r="D367" s="77" t="s">
        <v>121</v>
      </c>
      <c r="G367" s="5" t="s">
        <v>261</v>
      </c>
      <c r="H367" s="77" t="s">
        <v>125</v>
      </c>
      <c r="I367" s="77" t="s">
        <v>126</v>
      </c>
      <c r="J367" s="77" t="s">
        <v>15</v>
      </c>
      <c r="K367" s="77" t="s">
        <v>65</v>
      </c>
      <c r="L367" s="77" t="s">
        <v>17</v>
      </c>
      <c r="M367" s="77" t="s">
        <v>8</v>
      </c>
    </row>
    <row r="368" spans="1:13" ht="28.8">
      <c r="A368" s="74">
        <v>4</v>
      </c>
      <c r="B368" s="77" t="s">
        <v>88</v>
      </c>
      <c r="D368" s="77" t="s">
        <v>121</v>
      </c>
      <c r="G368" s="5" t="s">
        <v>262</v>
      </c>
      <c r="H368" s="77" t="s">
        <v>138</v>
      </c>
      <c r="I368" s="77" t="s">
        <v>69</v>
      </c>
      <c r="J368" s="77" t="s">
        <v>10</v>
      </c>
      <c r="K368" s="77" t="s">
        <v>61</v>
      </c>
      <c r="L368" s="77" t="s">
        <v>12</v>
      </c>
      <c r="M368" s="77" t="s">
        <v>8</v>
      </c>
    </row>
    <row r="369" spans="1:13" ht="28.8">
      <c r="A369" s="74">
        <v>4</v>
      </c>
      <c r="B369" s="77" t="s">
        <v>88</v>
      </c>
      <c r="D369" s="77" t="s">
        <v>121</v>
      </c>
      <c r="G369" s="5" t="s">
        <v>262</v>
      </c>
      <c r="H369" s="77" t="s">
        <v>138</v>
      </c>
      <c r="I369" s="77" t="s">
        <v>69</v>
      </c>
      <c r="J369" s="77" t="s">
        <v>10</v>
      </c>
      <c r="K369" s="77" t="s">
        <v>63</v>
      </c>
      <c r="L369" s="77" t="s">
        <v>12</v>
      </c>
      <c r="M369" s="77" t="s">
        <v>8</v>
      </c>
    </row>
    <row r="370" spans="1:13" ht="28.8">
      <c r="A370" s="74">
        <v>4</v>
      </c>
      <c r="B370" s="77" t="s">
        <v>88</v>
      </c>
      <c r="D370" s="77" t="s">
        <v>121</v>
      </c>
      <c r="G370" s="5" t="s">
        <v>262</v>
      </c>
      <c r="H370" s="77" t="s">
        <v>138</v>
      </c>
      <c r="I370" s="77" t="s">
        <v>69</v>
      </c>
      <c r="J370" s="77" t="s">
        <v>10</v>
      </c>
      <c r="K370" s="77" t="s">
        <v>64</v>
      </c>
      <c r="L370" s="77" t="s">
        <v>12</v>
      </c>
      <c r="M370" s="77" t="s">
        <v>8</v>
      </c>
    </row>
    <row r="371" spans="1:13" ht="28.8">
      <c r="A371" s="74">
        <v>4</v>
      </c>
      <c r="B371" s="77" t="s">
        <v>88</v>
      </c>
      <c r="D371" s="77" t="s">
        <v>121</v>
      </c>
      <c r="G371" s="5" t="s">
        <v>263</v>
      </c>
      <c r="H371" s="77" t="s">
        <v>169</v>
      </c>
      <c r="I371" s="77" t="s">
        <v>72</v>
      </c>
      <c r="J371" s="77" t="s">
        <v>23</v>
      </c>
      <c r="K371" s="77" t="s">
        <v>66</v>
      </c>
      <c r="L371" s="77" t="s">
        <v>17</v>
      </c>
      <c r="M371" s="77" t="s">
        <v>8</v>
      </c>
    </row>
    <row r="372" spans="1:13" ht="28.8">
      <c r="A372" s="74">
        <v>4</v>
      </c>
      <c r="B372" s="77" t="s">
        <v>88</v>
      </c>
      <c r="D372" s="77" t="s">
        <v>121</v>
      </c>
      <c r="G372" s="5" t="s">
        <v>263</v>
      </c>
      <c r="H372" s="77" t="s">
        <v>169</v>
      </c>
      <c r="I372" s="77" t="s">
        <v>72</v>
      </c>
      <c r="J372" s="77" t="s">
        <v>23</v>
      </c>
      <c r="K372" s="77" t="s">
        <v>62</v>
      </c>
      <c r="L372" s="77" t="s">
        <v>17</v>
      </c>
      <c r="M372" s="77" t="s">
        <v>8</v>
      </c>
    </row>
    <row r="373" spans="1:13" ht="28.8">
      <c r="A373" s="74">
        <v>4</v>
      </c>
      <c r="B373" s="77" t="s">
        <v>88</v>
      </c>
      <c r="D373" s="77" t="s">
        <v>121</v>
      </c>
      <c r="G373" s="5" t="s">
        <v>263</v>
      </c>
      <c r="H373" s="77" t="s">
        <v>169</v>
      </c>
      <c r="I373" s="77" t="s">
        <v>72</v>
      </c>
      <c r="J373" s="77" t="s">
        <v>23</v>
      </c>
      <c r="K373" s="77" t="s">
        <v>61</v>
      </c>
      <c r="L373" s="77" t="s">
        <v>17</v>
      </c>
      <c r="M373" s="77" t="s">
        <v>8</v>
      </c>
    </row>
    <row r="374" spans="1:13">
      <c r="A374" s="74">
        <v>4</v>
      </c>
      <c r="B374" s="77" t="s">
        <v>88</v>
      </c>
      <c r="D374" s="77" t="s">
        <v>121</v>
      </c>
      <c r="G374" s="5" t="s">
        <v>264</v>
      </c>
      <c r="H374" s="77" t="s">
        <v>125</v>
      </c>
      <c r="I374" s="77" t="s">
        <v>126</v>
      </c>
      <c r="J374" s="77" t="s">
        <v>15</v>
      </c>
      <c r="K374" s="77" t="s">
        <v>62</v>
      </c>
      <c r="L374" s="77" t="s">
        <v>17</v>
      </c>
      <c r="M374" s="77" t="s">
        <v>8</v>
      </c>
    </row>
    <row r="375" spans="1:13">
      <c r="A375" s="74">
        <v>4</v>
      </c>
      <c r="B375" s="77" t="s">
        <v>88</v>
      </c>
      <c r="D375" s="77" t="s">
        <v>121</v>
      </c>
      <c r="G375" s="5" t="s">
        <v>264</v>
      </c>
      <c r="H375" s="77" t="s">
        <v>125</v>
      </c>
      <c r="I375" s="77" t="s">
        <v>126</v>
      </c>
      <c r="J375" s="77" t="s">
        <v>15</v>
      </c>
      <c r="K375" s="77" t="s">
        <v>63</v>
      </c>
      <c r="L375" s="77" t="s">
        <v>17</v>
      </c>
      <c r="M375" s="77" t="s">
        <v>8</v>
      </c>
    </row>
    <row r="376" spans="1:13">
      <c r="A376" s="74">
        <v>4</v>
      </c>
      <c r="B376" s="77" t="s">
        <v>88</v>
      </c>
      <c r="D376" s="77" t="s">
        <v>121</v>
      </c>
      <c r="G376" s="5" t="s">
        <v>264</v>
      </c>
      <c r="H376" s="77" t="s">
        <v>125</v>
      </c>
      <c r="I376" s="77" t="s">
        <v>126</v>
      </c>
      <c r="J376" s="77" t="s">
        <v>15</v>
      </c>
      <c r="K376" s="77" t="s">
        <v>65</v>
      </c>
      <c r="L376" s="77" t="s">
        <v>17</v>
      </c>
      <c r="M376" s="77" t="s">
        <v>8</v>
      </c>
    </row>
    <row r="377" spans="1:13" ht="28.8">
      <c r="A377" s="74">
        <v>4</v>
      </c>
      <c r="B377" s="77" t="s">
        <v>88</v>
      </c>
      <c r="D377" s="77" t="s">
        <v>121</v>
      </c>
      <c r="G377" s="5" t="s">
        <v>265</v>
      </c>
      <c r="H377" s="77" t="s">
        <v>125</v>
      </c>
      <c r="I377" s="77" t="s">
        <v>126</v>
      </c>
      <c r="J377" s="77" t="s">
        <v>15</v>
      </c>
      <c r="K377" s="77" t="s">
        <v>62</v>
      </c>
      <c r="L377" s="77" t="s">
        <v>17</v>
      </c>
      <c r="M377" s="77" t="s">
        <v>8</v>
      </c>
    </row>
    <row r="378" spans="1:13" ht="28.8">
      <c r="A378" s="74">
        <v>4</v>
      </c>
      <c r="B378" s="77" t="s">
        <v>88</v>
      </c>
      <c r="D378" s="77" t="s">
        <v>121</v>
      </c>
      <c r="G378" s="5" t="s">
        <v>265</v>
      </c>
      <c r="H378" s="77" t="s">
        <v>125</v>
      </c>
      <c r="I378" s="77" t="s">
        <v>126</v>
      </c>
      <c r="J378" s="77" t="s">
        <v>15</v>
      </c>
      <c r="K378" s="77" t="s">
        <v>63</v>
      </c>
      <c r="L378" s="77" t="s">
        <v>17</v>
      </c>
      <c r="M378" s="77" t="s">
        <v>8</v>
      </c>
    </row>
    <row r="379" spans="1:13" ht="28.8">
      <c r="A379" s="74">
        <v>4</v>
      </c>
      <c r="B379" s="77" t="s">
        <v>88</v>
      </c>
      <c r="D379" s="77" t="s">
        <v>121</v>
      </c>
      <c r="G379" s="5" t="s">
        <v>265</v>
      </c>
      <c r="H379" s="77" t="s">
        <v>125</v>
      </c>
      <c r="I379" s="77" t="s">
        <v>126</v>
      </c>
      <c r="J379" s="77" t="s">
        <v>15</v>
      </c>
      <c r="K379" s="77" t="s">
        <v>65</v>
      </c>
      <c r="L379" s="77" t="s">
        <v>17</v>
      </c>
      <c r="M379" s="77" t="s">
        <v>8</v>
      </c>
    </row>
    <row r="380" spans="1:13">
      <c r="A380" s="74">
        <v>6</v>
      </c>
      <c r="B380" s="77" t="s">
        <v>93</v>
      </c>
      <c r="D380" s="77" t="s">
        <v>121</v>
      </c>
      <c r="G380" s="5" t="s">
        <v>266</v>
      </c>
      <c r="H380" s="77" t="s">
        <v>55</v>
      </c>
      <c r="I380" s="77" t="s">
        <v>56</v>
      </c>
      <c r="J380" s="77" t="s">
        <v>30</v>
      </c>
      <c r="K380" s="77" t="s">
        <v>56</v>
      </c>
      <c r="L380" s="77" t="s">
        <v>17</v>
      </c>
      <c r="M380" s="77" t="s">
        <v>8</v>
      </c>
    </row>
    <row r="381" spans="1:13">
      <c r="A381" s="74">
        <v>6</v>
      </c>
      <c r="B381" s="77" t="s">
        <v>93</v>
      </c>
      <c r="D381" s="77" t="s">
        <v>121</v>
      </c>
      <c r="G381" s="5" t="s">
        <v>266</v>
      </c>
      <c r="H381" s="77" t="s">
        <v>55</v>
      </c>
      <c r="I381" s="77" t="s">
        <v>56</v>
      </c>
      <c r="J381" s="77" t="s">
        <v>30</v>
      </c>
      <c r="K381" s="77" t="s">
        <v>64</v>
      </c>
      <c r="L381" s="77" t="s">
        <v>17</v>
      </c>
      <c r="M381" s="77" t="s">
        <v>8</v>
      </c>
    </row>
    <row r="382" spans="1:13">
      <c r="A382" s="74">
        <v>6</v>
      </c>
      <c r="B382" s="77" t="s">
        <v>93</v>
      </c>
      <c r="D382" s="77" t="s">
        <v>121</v>
      </c>
      <c r="G382" s="5" t="s">
        <v>266</v>
      </c>
      <c r="H382" s="77" t="s">
        <v>55</v>
      </c>
      <c r="I382" s="77" t="s">
        <v>56</v>
      </c>
      <c r="J382" s="77" t="s">
        <v>30</v>
      </c>
      <c r="K382" s="77" t="s">
        <v>63</v>
      </c>
      <c r="L382" s="77" t="s">
        <v>17</v>
      </c>
      <c r="M382" s="77" t="s">
        <v>8</v>
      </c>
    </row>
    <row r="383" spans="1:13">
      <c r="A383" s="74">
        <v>6</v>
      </c>
      <c r="B383" s="77" t="s">
        <v>93</v>
      </c>
      <c r="D383" s="77" t="s">
        <v>121</v>
      </c>
      <c r="G383" s="5" t="s">
        <v>267</v>
      </c>
      <c r="H383" s="77" t="s">
        <v>125</v>
      </c>
      <c r="I383" s="77" t="s">
        <v>126</v>
      </c>
      <c r="J383" s="77" t="s">
        <v>15</v>
      </c>
      <c r="K383" s="77" t="s">
        <v>62</v>
      </c>
      <c r="L383" s="77" t="s">
        <v>17</v>
      </c>
      <c r="M383" s="77" t="s">
        <v>8</v>
      </c>
    </row>
    <row r="384" spans="1:13">
      <c r="A384" s="74">
        <v>6</v>
      </c>
      <c r="B384" s="77" t="s">
        <v>93</v>
      </c>
      <c r="D384" s="77" t="s">
        <v>121</v>
      </c>
      <c r="G384" s="5" t="s">
        <v>267</v>
      </c>
      <c r="H384" s="77" t="s">
        <v>125</v>
      </c>
      <c r="I384" s="77" t="s">
        <v>126</v>
      </c>
      <c r="J384" s="77" t="s">
        <v>15</v>
      </c>
      <c r="K384" s="77" t="s">
        <v>63</v>
      </c>
      <c r="L384" s="77" t="s">
        <v>17</v>
      </c>
      <c r="M384" s="77" t="s">
        <v>8</v>
      </c>
    </row>
    <row r="385" spans="1:13">
      <c r="A385" s="74">
        <v>6</v>
      </c>
      <c r="B385" s="77" t="s">
        <v>93</v>
      </c>
      <c r="D385" s="77" t="s">
        <v>121</v>
      </c>
      <c r="G385" s="5" t="s">
        <v>267</v>
      </c>
      <c r="H385" s="77" t="s">
        <v>125</v>
      </c>
      <c r="I385" s="77" t="s">
        <v>126</v>
      </c>
      <c r="J385" s="77" t="s">
        <v>15</v>
      </c>
      <c r="K385" s="77" t="s">
        <v>65</v>
      </c>
      <c r="L385" s="77" t="s">
        <v>17</v>
      </c>
      <c r="M385" s="77" t="s">
        <v>8</v>
      </c>
    </row>
    <row r="386" spans="1:13">
      <c r="A386" s="74">
        <v>6</v>
      </c>
      <c r="B386" s="77" t="s">
        <v>93</v>
      </c>
      <c r="D386" s="77" t="s">
        <v>121</v>
      </c>
      <c r="G386" s="5" t="s">
        <v>268</v>
      </c>
      <c r="H386" s="77" t="s">
        <v>140</v>
      </c>
      <c r="I386" s="77" t="s">
        <v>141</v>
      </c>
      <c r="J386" s="77" t="s">
        <v>5</v>
      </c>
      <c r="K386" s="77" t="s">
        <v>63</v>
      </c>
      <c r="L386" s="77" t="s">
        <v>17</v>
      </c>
      <c r="M386" s="77" t="s">
        <v>8</v>
      </c>
    </row>
    <row r="387" spans="1:13">
      <c r="A387" s="74">
        <v>6</v>
      </c>
      <c r="B387" s="77" t="s">
        <v>93</v>
      </c>
      <c r="D387" s="77" t="s">
        <v>121</v>
      </c>
      <c r="G387" s="5" t="s">
        <v>268</v>
      </c>
      <c r="H387" s="77" t="s">
        <v>140</v>
      </c>
      <c r="I387" s="77" t="s">
        <v>141</v>
      </c>
      <c r="J387" s="77" t="s">
        <v>5</v>
      </c>
      <c r="K387" s="77" t="s">
        <v>56</v>
      </c>
      <c r="L387" s="77" t="s">
        <v>17</v>
      </c>
      <c r="M387" s="77" t="s">
        <v>8</v>
      </c>
    </row>
    <row r="388" spans="1:13">
      <c r="A388" s="74">
        <v>6</v>
      </c>
      <c r="B388" s="77" t="s">
        <v>93</v>
      </c>
      <c r="D388" s="77" t="s">
        <v>121</v>
      </c>
      <c r="G388" s="5" t="s">
        <v>268</v>
      </c>
      <c r="H388" s="77" t="s">
        <v>140</v>
      </c>
      <c r="I388" s="77" t="s">
        <v>141</v>
      </c>
      <c r="J388" s="77" t="s">
        <v>5</v>
      </c>
      <c r="K388" s="77" t="s">
        <v>64</v>
      </c>
      <c r="L388" s="77" t="s">
        <v>17</v>
      </c>
      <c r="M388" s="77" t="s">
        <v>8</v>
      </c>
    </row>
    <row r="389" spans="1:13">
      <c r="A389" s="74">
        <v>6</v>
      </c>
      <c r="B389" s="77" t="s">
        <v>93</v>
      </c>
      <c r="D389" s="77" t="s">
        <v>121</v>
      </c>
      <c r="G389" s="5" t="s">
        <v>269</v>
      </c>
      <c r="H389" s="77" t="s">
        <v>125</v>
      </c>
      <c r="I389" s="77" t="s">
        <v>126</v>
      </c>
      <c r="J389" s="77" t="s">
        <v>15</v>
      </c>
      <c r="K389" s="77" t="s">
        <v>62</v>
      </c>
      <c r="L389" s="77" t="s">
        <v>17</v>
      </c>
      <c r="M389" s="77" t="s">
        <v>8</v>
      </c>
    </row>
    <row r="390" spans="1:13">
      <c r="A390" s="74">
        <v>6</v>
      </c>
      <c r="B390" s="77" t="s">
        <v>93</v>
      </c>
      <c r="D390" s="77" t="s">
        <v>121</v>
      </c>
      <c r="G390" s="5" t="s">
        <v>269</v>
      </c>
      <c r="H390" s="77" t="s">
        <v>125</v>
      </c>
      <c r="I390" s="77" t="s">
        <v>126</v>
      </c>
      <c r="J390" s="77" t="s">
        <v>15</v>
      </c>
      <c r="K390" s="77" t="s">
        <v>63</v>
      </c>
      <c r="L390" s="77" t="s">
        <v>17</v>
      </c>
      <c r="M390" s="77" t="s">
        <v>8</v>
      </c>
    </row>
    <row r="391" spans="1:13">
      <c r="A391" s="74">
        <v>6</v>
      </c>
      <c r="B391" s="77" t="s">
        <v>93</v>
      </c>
      <c r="D391" s="77" t="s">
        <v>121</v>
      </c>
      <c r="G391" s="5" t="s">
        <v>269</v>
      </c>
      <c r="H391" s="77" t="s">
        <v>125</v>
      </c>
      <c r="I391" s="77" t="s">
        <v>126</v>
      </c>
      <c r="J391" s="77" t="s">
        <v>15</v>
      </c>
      <c r="K391" s="77" t="s">
        <v>65</v>
      </c>
      <c r="L391" s="77" t="s">
        <v>17</v>
      </c>
      <c r="M391" s="77" t="s">
        <v>8</v>
      </c>
    </row>
    <row r="392" spans="1:13" ht="28.8">
      <c r="A392" s="74">
        <v>6</v>
      </c>
      <c r="B392" s="77" t="s">
        <v>93</v>
      </c>
      <c r="D392" s="77" t="s">
        <v>121</v>
      </c>
      <c r="G392" s="5" t="s">
        <v>270</v>
      </c>
      <c r="H392" s="77" t="s">
        <v>55</v>
      </c>
      <c r="I392" s="77" t="s">
        <v>56</v>
      </c>
      <c r="J392" s="77" t="s">
        <v>30</v>
      </c>
      <c r="K392" s="77" t="s">
        <v>56</v>
      </c>
      <c r="L392" s="77" t="s">
        <v>17</v>
      </c>
      <c r="M392" s="77" t="s">
        <v>8</v>
      </c>
    </row>
    <row r="393" spans="1:13" ht="28.8">
      <c r="A393" s="74">
        <v>6</v>
      </c>
      <c r="B393" s="77" t="s">
        <v>93</v>
      </c>
      <c r="D393" s="77" t="s">
        <v>121</v>
      </c>
      <c r="G393" s="5" t="s">
        <v>270</v>
      </c>
      <c r="H393" s="77" t="s">
        <v>55</v>
      </c>
      <c r="I393" s="77" t="s">
        <v>56</v>
      </c>
      <c r="J393" s="77" t="s">
        <v>30</v>
      </c>
      <c r="K393" s="77" t="s">
        <v>64</v>
      </c>
      <c r="L393" s="77" t="s">
        <v>17</v>
      </c>
      <c r="M393" s="77" t="s">
        <v>8</v>
      </c>
    </row>
    <row r="394" spans="1:13" ht="28.8">
      <c r="A394" s="74">
        <v>6</v>
      </c>
      <c r="B394" s="77" t="s">
        <v>93</v>
      </c>
      <c r="D394" s="77" t="s">
        <v>121</v>
      </c>
      <c r="G394" s="5" t="s">
        <v>270</v>
      </c>
      <c r="H394" s="77" t="s">
        <v>55</v>
      </c>
      <c r="I394" s="77" t="s">
        <v>56</v>
      </c>
      <c r="J394" s="77" t="s">
        <v>30</v>
      </c>
      <c r="K394" s="77" t="s">
        <v>63</v>
      </c>
      <c r="L394" s="77" t="s">
        <v>17</v>
      </c>
      <c r="M394" s="77" t="s">
        <v>8</v>
      </c>
    </row>
    <row r="395" spans="1:13">
      <c r="A395" s="74">
        <v>7</v>
      </c>
      <c r="B395" s="77" t="s">
        <v>95</v>
      </c>
      <c r="D395" s="77" t="s">
        <v>121</v>
      </c>
      <c r="G395" s="5" t="s">
        <v>271</v>
      </c>
      <c r="H395" s="77" t="s">
        <v>55</v>
      </c>
      <c r="I395" s="77" t="s">
        <v>56</v>
      </c>
      <c r="J395" s="77" t="s">
        <v>30</v>
      </c>
      <c r="K395" s="77" t="s">
        <v>56</v>
      </c>
      <c r="L395" s="77" t="s">
        <v>17</v>
      </c>
      <c r="M395" s="77" t="s">
        <v>8</v>
      </c>
    </row>
    <row r="396" spans="1:13">
      <c r="A396" s="74">
        <v>7</v>
      </c>
      <c r="B396" s="77" t="s">
        <v>95</v>
      </c>
      <c r="D396" s="77" t="s">
        <v>121</v>
      </c>
      <c r="G396" s="5" t="s">
        <v>271</v>
      </c>
      <c r="H396" s="77" t="s">
        <v>55</v>
      </c>
      <c r="I396" s="77" t="s">
        <v>56</v>
      </c>
      <c r="J396" s="77" t="s">
        <v>30</v>
      </c>
      <c r="K396" s="77" t="s">
        <v>64</v>
      </c>
      <c r="L396" s="77" t="s">
        <v>17</v>
      </c>
      <c r="M396" s="77" t="s">
        <v>8</v>
      </c>
    </row>
    <row r="397" spans="1:13">
      <c r="A397" s="74">
        <v>7</v>
      </c>
      <c r="B397" s="77" t="s">
        <v>95</v>
      </c>
      <c r="D397" s="77" t="s">
        <v>121</v>
      </c>
      <c r="G397" s="5" t="s">
        <v>271</v>
      </c>
      <c r="H397" s="77" t="s">
        <v>55</v>
      </c>
      <c r="I397" s="77" t="s">
        <v>56</v>
      </c>
      <c r="J397" s="77" t="s">
        <v>30</v>
      </c>
      <c r="K397" s="77" t="s">
        <v>63</v>
      </c>
      <c r="L397" s="77" t="s">
        <v>17</v>
      </c>
      <c r="M397" s="77" t="s">
        <v>8</v>
      </c>
    </row>
    <row r="398" spans="1:13">
      <c r="A398" s="74">
        <v>7</v>
      </c>
      <c r="B398" s="77" t="s">
        <v>95</v>
      </c>
      <c r="D398" s="77" t="s">
        <v>121</v>
      </c>
      <c r="G398" s="5" t="s">
        <v>272</v>
      </c>
      <c r="H398" s="77" t="s">
        <v>138</v>
      </c>
      <c r="I398" s="77" t="s">
        <v>69</v>
      </c>
      <c r="J398" s="77" t="s">
        <v>10</v>
      </c>
      <c r="K398" s="77" t="s">
        <v>61</v>
      </c>
      <c r="L398" s="77" t="s">
        <v>12</v>
      </c>
      <c r="M398" s="77" t="s">
        <v>8</v>
      </c>
    </row>
    <row r="399" spans="1:13">
      <c r="A399" s="74">
        <v>7</v>
      </c>
      <c r="B399" s="77" t="s">
        <v>95</v>
      </c>
      <c r="D399" s="77" t="s">
        <v>121</v>
      </c>
      <c r="G399" s="5" t="s">
        <v>272</v>
      </c>
      <c r="H399" s="77" t="s">
        <v>138</v>
      </c>
      <c r="I399" s="77" t="s">
        <v>69</v>
      </c>
      <c r="J399" s="77" t="s">
        <v>10</v>
      </c>
      <c r="K399" s="77" t="s">
        <v>63</v>
      </c>
      <c r="L399" s="77" t="s">
        <v>12</v>
      </c>
      <c r="M399" s="77" t="s">
        <v>8</v>
      </c>
    </row>
    <row r="400" spans="1:13">
      <c r="A400" s="74">
        <v>7</v>
      </c>
      <c r="B400" s="77" t="s">
        <v>95</v>
      </c>
      <c r="D400" s="77" t="s">
        <v>121</v>
      </c>
      <c r="G400" s="5" t="s">
        <v>272</v>
      </c>
      <c r="H400" s="77" t="s">
        <v>138</v>
      </c>
      <c r="I400" s="77" t="s">
        <v>69</v>
      </c>
      <c r="J400" s="77" t="s">
        <v>10</v>
      </c>
      <c r="K400" s="77" t="s">
        <v>64</v>
      </c>
      <c r="L400" s="77" t="s">
        <v>12</v>
      </c>
      <c r="M400" s="77" t="s">
        <v>8</v>
      </c>
    </row>
    <row r="401" spans="1:13">
      <c r="A401" s="74">
        <v>7</v>
      </c>
      <c r="B401" s="77" t="s">
        <v>95</v>
      </c>
      <c r="D401" s="77" t="s">
        <v>121</v>
      </c>
      <c r="G401" s="5" t="s">
        <v>273</v>
      </c>
      <c r="H401" s="77" t="s">
        <v>55</v>
      </c>
      <c r="I401" s="77" t="s">
        <v>56</v>
      </c>
      <c r="J401" s="77" t="s">
        <v>30</v>
      </c>
      <c r="K401" s="77" t="s">
        <v>56</v>
      </c>
      <c r="L401" s="77" t="s">
        <v>17</v>
      </c>
      <c r="M401" s="77" t="s">
        <v>8</v>
      </c>
    </row>
    <row r="402" spans="1:13">
      <c r="A402" s="74">
        <v>7</v>
      </c>
      <c r="B402" s="77" t="s">
        <v>95</v>
      </c>
      <c r="D402" s="77" t="s">
        <v>121</v>
      </c>
      <c r="G402" s="5" t="s">
        <v>273</v>
      </c>
      <c r="H402" s="77" t="s">
        <v>55</v>
      </c>
      <c r="I402" s="77" t="s">
        <v>56</v>
      </c>
      <c r="J402" s="77" t="s">
        <v>30</v>
      </c>
      <c r="K402" s="77" t="s">
        <v>64</v>
      </c>
      <c r="L402" s="77" t="s">
        <v>17</v>
      </c>
      <c r="M402" s="77" t="s">
        <v>8</v>
      </c>
    </row>
    <row r="403" spans="1:13">
      <c r="A403" s="74">
        <v>7</v>
      </c>
      <c r="B403" s="77" t="s">
        <v>95</v>
      </c>
      <c r="D403" s="77" t="s">
        <v>121</v>
      </c>
      <c r="G403" s="5" t="s">
        <v>273</v>
      </c>
      <c r="H403" s="77" t="s">
        <v>55</v>
      </c>
      <c r="I403" s="77" t="s">
        <v>56</v>
      </c>
      <c r="J403" s="77" t="s">
        <v>30</v>
      </c>
      <c r="K403" s="77" t="s">
        <v>63</v>
      </c>
      <c r="L403" s="77" t="s">
        <v>17</v>
      </c>
      <c r="M403" s="77" t="s">
        <v>8</v>
      </c>
    </row>
    <row r="404" spans="1:13" ht="28.8">
      <c r="A404" s="74">
        <v>7</v>
      </c>
      <c r="B404" s="77" t="s">
        <v>95</v>
      </c>
      <c r="D404" s="77" t="s">
        <v>121</v>
      </c>
      <c r="G404" s="5" t="s">
        <v>274</v>
      </c>
      <c r="H404" s="77" t="s">
        <v>125</v>
      </c>
      <c r="I404" s="77" t="s">
        <v>126</v>
      </c>
      <c r="J404" s="77" t="s">
        <v>15</v>
      </c>
      <c r="K404" s="77" t="s">
        <v>62</v>
      </c>
      <c r="L404" s="77" t="s">
        <v>17</v>
      </c>
      <c r="M404" s="77" t="s">
        <v>8</v>
      </c>
    </row>
    <row r="405" spans="1:13" ht="28.8">
      <c r="A405" s="74">
        <v>7</v>
      </c>
      <c r="B405" s="77" t="s">
        <v>95</v>
      </c>
      <c r="D405" s="77" t="s">
        <v>121</v>
      </c>
      <c r="G405" s="5" t="s">
        <v>274</v>
      </c>
      <c r="H405" s="77" t="s">
        <v>125</v>
      </c>
      <c r="I405" s="77" t="s">
        <v>126</v>
      </c>
      <c r="J405" s="77" t="s">
        <v>15</v>
      </c>
      <c r="K405" s="77" t="s">
        <v>63</v>
      </c>
      <c r="L405" s="77" t="s">
        <v>17</v>
      </c>
      <c r="M405" s="77" t="s">
        <v>8</v>
      </c>
    </row>
    <row r="406" spans="1:13" ht="28.8">
      <c r="A406" s="74">
        <v>7</v>
      </c>
      <c r="B406" s="77" t="s">
        <v>95</v>
      </c>
      <c r="D406" s="77" t="s">
        <v>121</v>
      </c>
      <c r="G406" s="5" t="s">
        <v>274</v>
      </c>
      <c r="H406" s="77" t="s">
        <v>125</v>
      </c>
      <c r="I406" s="77" t="s">
        <v>126</v>
      </c>
      <c r="J406" s="77" t="s">
        <v>15</v>
      </c>
      <c r="K406" s="77" t="s">
        <v>65</v>
      </c>
      <c r="L406" s="77" t="s">
        <v>17</v>
      </c>
      <c r="M406" s="77" t="s">
        <v>8</v>
      </c>
    </row>
    <row r="407" spans="1:13" ht="28.8">
      <c r="A407" s="74">
        <v>7</v>
      </c>
      <c r="B407" s="77" t="s">
        <v>95</v>
      </c>
      <c r="D407" s="77" t="s">
        <v>121</v>
      </c>
      <c r="G407" s="5" t="s">
        <v>275</v>
      </c>
      <c r="H407" s="77" t="s">
        <v>55</v>
      </c>
      <c r="I407" s="77" t="s">
        <v>56</v>
      </c>
      <c r="J407" s="77" t="s">
        <v>30</v>
      </c>
      <c r="K407" s="77" t="s">
        <v>56</v>
      </c>
      <c r="L407" s="77" t="s">
        <v>17</v>
      </c>
      <c r="M407" s="77" t="s">
        <v>8</v>
      </c>
    </row>
    <row r="408" spans="1:13" ht="28.8">
      <c r="A408" s="74">
        <v>7</v>
      </c>
      <c r="B408" s="77" t="s">
        <v>95</v>
      </c>
      <c r="D408" s="77" t="s">
        <v>121</v>
      </c>
      <c r="G408" s="5" t="s">
        <v>275</v>
      </c>
      <c r="H408" s="77" t="s">
        <v>55</v>
      </c>
      <c r="I408" s="77" t="s">
        <v>56</v>
      </c>
      <c r="J408" s="77" t="s">
        <v>30</v>
      </c>
      <c r="K408" s="77" t="s">
        <v>64</v>
      </c>
      <c r="L408" s="77" t="s">
        <v>17</v>
      </c>
      <c r="M408" s="77" t="s">
        <v>8</v>
      </c>
    </row>
    <row r="409" spans="1:13" ht="28.8">
      <c r="A409" s="74">
        <v>7</v>
      </c>
      <c r="B409" s="77" t="s">
        <v>95</v>
      </c>
      <c r="D409" s="77" t="s">
        <v>121</v>
      </c>
      <c r="G409" s="5" t="s">
        <v>275</v>
      </c>
      <c r="H409" s="77" t="s">
        <v>55</v>
      </c>
      <c r="I409" s="77" t="s">
        <v>56</v>
      </c>
      <c r="J409" s="77" t="s">
        <v>30</v>
      </c>
      <c r="K409" s="77" t="s">
        <v>63</v>
      </c>
      <c r="L409" s="77" t="s">
        <v>17</v>
      </c>
      <c r="M409" s="77" t="s">
        <v>8</v>
      </c>
    </row>
    <row r="410" spans="1:13">
      <c r="A410" s="74">
        <v>7</v>
      </c>
      <c r="B410" s="77" t="s">
        <v>95</v>
      </c>
      <c r="D410" s="77" t="s">
        <v>121</v>
      </c>
      <c r="G410" s="5" t="s">
        <v>276</v>
      </c>
      <c r="H410" s="77" t="s">
        <v>55</v>
      </c>
      <c r="I410" s="77" t="s">
        <v>56</v>
      </c>
      <c r="J410" s="77" t="s">
        <v>30</v>
      </c>
      <c r="K410" s="77" t="s">
        <v>56</v>
      </c>
      <c r="L410" s="77" t="s">
        <v>17</v>
      </c>
      <c r="M410" s="77" t="s">
        <v>8</v>
      </c>
    </row>
    <row r="411" spans="1:13">
      <c r="A411" s="74">
        <v>7</v>
      </c>
      <c r="B411" s="77" t="s">
        <v>95</v>
      </c>
      <c r="D411" s="77" t="s">
        <v>121</v>
      </c>
      <c r="G411" s="5" t="s">
        <v>276</v>
      </c>
      <c r="H411" s="77" t="s">
        <v>55</v>
      </c>
      <c r="I411" s="77" t="s">
        <v>56</v>
      </c>
      <c r="J411" s="77" t="s">
        <v>30</v>
      </c>
      <c r="K411" s="77" t="s">
        <v>64</v>
      </c>
      <c r="L411" s="77" t="s">
        <v>17</v>
      </c>
      <c r="M411" s="77" t="s">
        <v>8</v>
      </c>
    </row>
    <row r="412" spans="1:13">
      <c r="A412" s="74">
        <v>7</v>
      </c>
      <c r="B412" s="77" t="s">
        <v>95</v>
      </c>
      <c r="D412" s="77" t="s">
        <v>121</v>
      </c>
      <c r="G412" s="5" t="s">
        <v>276</v>
      </c>
      <c r="H412" s="77" t="s">
        <v>55</v>
      </c>
      <c r="I412" s="77" t="s">
        <v>56</v>
      </c>
      <c r="J412" s="77" t="s">
        <v>30</v>
      </c>
      <c r="K412" s="77" t="s">
        <v>63</v>
      </c>
      <c r="L412" s="77" t="s">
        <v>17</v>
      </c>
      <c r="M412" s="77" t="s">
        <v>8</v>
      </c>
    </row>
    <row r="413" spans="1:13">
      <c r="A413" s="74">
        <v>7</v>
      </c>
      <c r="B413" s="77" t="s">
        <v>95</v>
      </c>
      <c r="D413" s="77" t="s">
        <v>121</v>
      </c>
      <c r="G413" s="5" t="s">
        <v>277</v>
      </c>
      <c r="H413" s="77" t="s">
        <v>55</v>
      </c>
      <c r="I413" s="77" t="s">
        <v>56</v>
      </c>
      <c r="J413" s="77" t="s">
        <v>30</v>
      </c>
      <c r="K413" s="77" t="s">
        <v>56</v>
      </c>
      <c r="L413" s="77" t="s">
        <v>17</v>
      </c>
      <c r="M413" s="77" t="s">
        <v>8</v>
      </c>
    </row>
    <row r="414" spans="1:13">
      <c r="A414" s="74">
        <v>7</v>
      </c>
      <c r="B414" s="77" t="s">
        <v>95</v>
      </c>
      <c r="D414" s="77" t="s">
        <v>121</v>
      </c>
      <c r="G414" s="5" t="s">
        <v>277</v>
      </c>
      <c r="H414" s="77" t="s">
        <v>55</v>
      </c>
      <c r="I414" s="77" t="s">
        <v>56</v>
      </c>
      <c r="J414" s="77" t="s">
        <v>30</v>
      </c>
      <c r="K414" s="77" t="s">
        <v>64</v>
      </c>
      <c r="L414" s="77" t="s">
        <v>17</v>
      </c>
      <c r="M414" s="77" t="s">
        <v>8</v>
      </c>
    </row>
    <row r="415" spans="1:13">
      <c r="A415" s="74">
        <v>7</v>
      </c>
      <c r="B415" s="77" t="s">
        <v>95</v>
      </c>
      <c r="D415" s="77" t="s">
        <v>121</v>
      </c>
      <c r="G415" s="5" t="s">
        <v>277</v>
      </c>
      <c r="H415" s="77" t="s">
        <v>55</v>
      </c>
      <c r="I415" s="77" t="s">
        <v>56</v>
      </c>
      <c r="J415" s="77" t="s">
        <v>30</v>
      </c>
      <c r="K415" s="77" t="s">
        <v>63</v>
      </c>
      <c r="L415" s="77" t="s">
        <v>17</v>
      </c>
      <c r="M415" s="77" t="s">
        <v>8</v>
      </c>
    </row>
    <row r="416" spans="1:13" ht="28.8">
      <c r="A416" s="74">
        <v>7</v>
      </c>
      <c r="B416" s="77" t="s">
        <v>95</v>
      </c>
      <c r="D416" s="77" t="s">
        <v>121</v>
      </c>
      <c r="G416" s="5" t="s">
        <v>278</v>
      </c>
      <c r="H416" s="77" t="s">
        <v>55</v>
      </c>
      <c r="I416" s="77" t="s">
        <v>56</v>
      </c>
      <c r="J416" s="77" t="s">
        <v>30</v>
      </c>
      <c r="K416" s="77" t="s">
        <v>56</v>
      </c>
      <c r="L416" s="77" t="s">
        <v>17</v>
      </c>
      <c r="M416" s="77" t="s">
        <v>8</v>
      </c>
    </row>
    <row r="417" spans="1:13" ht="28.8">
      <c r="A417" s="74">
        <v>7</v>
      </c>
      <c r="B417" s="77" t="s">
        <v>95</v>
      </c>
      <c r="D417" s="77" t="s">
        <v>121</v>
      </c>
      <c r="G417" s="5" t="s">
        <v>278</v>
      </c>
      <c r="H417" s="77" t="s">
        <v>55</v>
      </c>
      <c r="I417" s="77" t="s">
        <v>56</v>
      </c>
      <c r="J417" s="77" t="s">
        <v>30</v>
      </c>
      <c r="K417" s="77" t="s">
        <v>64</v>
      </c>
      <c r="L417" s="77" t="s">
        <v>17</v>
      </c>
      <c r="M417" s="77" t="s">
        <v>8</v>
      </c>
    </row>
    <row r="418" spans="1:13" ht="28.8">
      <c r="A418" s="74">
        <v>7</v>
      </c>
      <c r="B418" s="77" t="s">
        <v>95</v>
      </c>
      <c r="D418" s="77" t="s">
        <v>121</v>
      </c>
      <c r="G418" s="5" t="s">
        <v>278</v>
      </c>
      <c r="H418" s="77" t="s">
        <v>55</v>
      </c>
      <c r="I418" s="77" t="s">
        <v>56</v>
      </c>
      <c r="J418" s="77" t="s">
        <v>30</v>
      </c>
      <c r="K418" s="77" t="s">
        <v>63</v>
      </c>
      <c r="L418" s="77" t="s">
        <v>17</v>
      </c>
      <c r="M418" s="77" t="s">
        <v>8</v>
      </c>
    </row>
    <row r="419" spans="1:13" ht="28.8">
      <c r="A419" s="74">
        <v>7</v>
      </c>
      <c r="B419" s="77" t="s">
        <v>95</v>
      </c>
      <c r="D419" s="77" t="s">
        <v>121</v>
      </c>
      <c r="G419" s="5" t="s">
        <v>279</v>
      </c>
      <c r="H419" s="77" t="s">
        <v>125</v>
      </c>
      <c r="I419" s="77" t="s">
        <v>126</v>
      </c>
      <c r="J419" s="77" t="s">
        <v>15</v>
      </c>
      <c r="K419" s="77" t="s">
        <v>62</v>
      </c>
      <c r="L419" s="77" t="s">
        <v>17</v>
      </c>
      <c r="M419" s="77" t="s">
        <v>8</v>
      </c>
    </row>
    <row r="420" spans="1:13" ht="28.8">
      <c r="A420" s="74">
        <v>7</v>
      </c>
      <c r="B420" s="77" t="s">
        <v>95</v>
      </c>
      <c r="D420" s="77" t="s">
        <v>121</v>
      </c>
      <c r="G420" s="5" t="s">
        <v>279</v>
      </c>
      <c r="H420" s="77" t="s">
        <v>125</v>
      </c>
      <c r="I420" s="77" t="s">
        <v>126</v>
      </c>
      <c r="J420" s="77" t="s">
        <v>15</v>
      </c>
      <c r="K420" s="77" t="s">
        <v>63</v>
      </c>
      <c r="L420" s="77" t="s">
        <v>17</v>
      </c>
      <c r="M420" s="77" t="s">
        <v>8</v>
      </c>
    </row>
    <row r="421" spans="1:13" ht="28.8">
      <c r="A421" s="74">
        <v>7</v>
      </c>
      <c r="B421" s="77" t="s">
        <v>95</v>
      </c>
      <c r="D421" s="77" t="s">
        <v>121</v>
      </c>
      <c r="G421" s="5" t="s">
        <v>279</v>
      </c>
      <c r="H421" s="77" t="s">
        <v>125</v>
      </c>
      <c r="I421" s="77" t="s">
        <v>126</v>
      </c>
      <c r="J421" s="77" t="s">
        <v>15</v>
      </c>
      <c r="K421" s="77" t="s">
        <v>65</v>
      </c>
      <c r="L421" s="77" t="s">
        <v>17</v>
      </c>
      <c r="M421" s="77" t="s">
        <v>8</v>
      </c>
    </row>
    <row r="422" spans="1:13">
      <c r="A422" s="74">
        <v>7</v>
      </c>
      <c r="B422" s="77" t="s">
        <v>95</v>
      </c>
      <c r="D422" s="77" t="s">
        <v>121</v>
      </c>
      <c r="G422" s="5" t="s">
        <v>280</v>
      </c>
      <c r="H422" s="77" t="s">
        <v>55</v>
      </c>
      <c r="I422" s="77" t="s">
        <v>56</v>
      </c>
      <c r="J422" s="77" t="s">
        <v>30</v>
      </c>
      <c r="K422" s="77" t="s">
        <v>56</v>
      </c>
      <c r="L422" s="77" t="s">
        <v>17</v>
      </c>
      <c r="M422" s="77" t="s">
        <v>8</v>
      </c>
    </row>
    <row r="423" spans="1:13">
      <c r="A423" s="74">
        <v>7</v>
      </c>
      <c r="B423" s="77" t="s">
        <v>95</v>
      </c>
      <c r="D423" s="77" t="s">
        <v>121</v>
      </c>
      <c r="G423" s="5" t="s">
        <v>280</v>
      </c>
      <c r="H423" s="77" t="s">
        <v>55</v>
      </c>
      <c r="I423" s="77" t="s">
        <v>56</v>
      </c>
      <c r="J423" s="77" t="s">
        <v>30</v>
      </c>
      <c r="K423" s="77" t="s">
        <v>64</v>
      </c>
      <c r="L423" s="77" t="s">
        <v>17</v>
      </c>
      <c r="M423" s="77" t="s">
        <v>8</v>
      </c>
    </row>
    <row r="424" spans="1:13">
      <c r="A424" s="74">
        <v>7</v>
      </c>
      <c r="B424" s="77" t="s">
        <v>95</v>
      </c>
      <c r="D424" s="77" t="s">
        <v>121</v>
      </c>
      <c r="G424" s="5" t="s">
        <v>280</v>
      </c>
      <c r="H424" s="77" t="s">
        <v>55</v>
      </c>
      <c r="I424" s="77" t="s">
        <v>56</v>
      </c>
      <c r="J424" s="77" t="s">
        <v>30</v>
      </c>
      <c r="K424" s="77" t="s">
        <v>63</v>
      </c>
      <c r="L424" s="77" t="s">
        <v>17</v>
      </c>
      <c r="M424" s="77" t="s">
        <v>8</v>
      </c>
    </row>
    <row r="425" spans="1:13" ht="28.8">
      <c r="A425" s="74">
        <v>7</v>
      </c>
      <c r="B425" s="77" t="s">
        <v>95</v>
      </c>
      <c r="D425" s="77" t="s">
        <v>121</v>
      </c>
      <c r="G425" s="5" t="s">
        <v>281</v>
      </c>
      <c r="H425" s="77" t="s">
        <v>55</v>
      </c>
      <c r="I425" s="77" t="s">
        <v>56</v>
      </c>
      <c r="J425" s="77" t="s">
        <v>30</v>
      </c>
      <c r="K425" s="77" t="s">
        <v>56</v>
      </c>
      <c r="L425" s="77" t="s">
        <v>17</v>
      </c>
      <c r="M425" s="77" t="s">
        <v>8</v>
      </c>
    </row>
    <row r="426" spans="1:13" ht="28.8">
      <c r="A426" s="74">
        <v>7</v>
      </c>
      <c r="B426" s="77" t="s">
        <v>95</v>
      </c>
      <c r="D426" s="77" t="s">
        <v>121</v>
      </c>
      <c r="G426" s="5" t="s">
        <v>281</v>
      </c>
      <c r="H426" s="77" t="s">
        <v>55</v>
      </c>
      <c r="I426" s="77" t="s">
        <v>56</v>
      </c>
      <c r="J426" s="77" t="s">
        <v>30</v>
      </c>
      <c r="K426" s="77" t="s">
        <v>64</v>
      </c>
      <c r="L426" s="77" t="s">
        <v>17</v>
      </c>
      <c r="M426" s="77" t="s">
        <v>8</v>
      </c>
    </row>
    <row r="427" spans="1:13" ht="28.8">
      <c r="A427" s="74">
        <v>7</v>
      </c>
      <c r="B427" s="77" t="s">
        <v>95</v>
      </c>
      <c r="D427" s="77" t="s">
        <v>121</v>
      </c>
      <c r="G427" s="5" t="s">
        <v>281</v>
      </c>
      <c r="H427" s="77" t="s">
        <v>55</v>
      </c>
      <c r="I427" s="77" t="s">
        <v>56</v>
      </c>
      <c r="J427" s="77" t="s">
        <v>30</v>
      </c>
      <c r="K427" s="77" t="s">
        <v>63</v>
      </c>
      <c r="L427" s="77" t="s">
        <v>17</v>
      </c>
      <c r="M427" s="77" t="s">
        <v>8</v>
      </c>
    </row>
  </sheetData>
  <autoFilter ref="A1:M427" xr:uid="{A2A67CF7-B10F-414D-AC57-902CFE3CD1E5}"/>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3E472-9D75-4901-96C0-69918E6A34C1}">
  <sheetPr>
    <tabColor theme="9" tint="-0.249977111117893"/>
  </sheetPr>
  <dimension ref="A1:J28"/>
  <sheetViews>
    <sheetView zoomScale="85" zoomScaleNormal="85" workbookViewId="0">
      <selection activeCell="F13" sqref="F13"/>
    </sheetView>
  </sheetViews>
  <sheetFormatPr defaultRowHeight="14.4"/>
  <cols>
    <col min="1" max="1" width="12.6640625" style="74" bestFit="1" customWidth="1"/>
    <col min="2" max="2" width="10.6640625" style="74" bestFit="1" customWidth="1"/>
    <col min="3" max="3" width="36.33203125" style="74" customWidth="1"/>
    <col min="4" max="4" width="18" style="74" bestFit="1" customWidth="1"/>
    <col min="5" max="5" width="29" style="68" bestFit="1" customWidth="1"/>
    <col min="6" max="6" width="36.6640625" style="68" customWidth="1"/>
    <col min="7" max="7" width="53.109375" style="68" customWidth="1"/>
    <col min="8" max="8" width="39.44140625" style="74" bestFit="1" customWidth="1"/>
    <col min="9" max="9" width="17.33203125" style="74" bestFit="1" customWidth="1"/>
    <col min="10" max="10" width="10.6640625" style="74" bestFit="1" customWidth="1"/>
  </cols>
  <sheetData>
    <row r="1" spans="1:10">
      <c r="A1" s="69" t="s">
        <v>73</v>
      </c>
      <c r="B1" s="70" t="s">
        <v>77</v>
      </c>
      <c r="C1" s="70" t="s">
        <v>76</v>
      </c>
      <c r="D1" s="70" t="s">
        <v>117</v>
      </c>
      <c r="E1" s="71" t="s">
        <v>58</v>
      </c>
      <c r="F1" s="71" t="s">
        <v>118</v>
      </c>
      <c r="G1" s="71" t="s">
        <v>282</v>
      </c>
      <c r="H1" s="69" t="s">
        <v>120</v>
      </c>
      <c r="I1" s="69" t="s">
        <v>2</v>
      </c>
      <c r="J1" s="69" t="s">
        <v>3</v>
      </c>
    </row>
    <row r="2" spans="1:10" s="63" customFormat="1" ht="28.8">
      <c r="A2" s="72">
        <v>15</v>
      </c>
      <c r="B2" s="72" t="str">
        <f>VLOOKUP($A2,' Lista de Entrevistas'!$A$1:$I$222,5,FALSE)</f>
        <v>Corporativo</v>
      </c>
      <c r="C2" s="72" t="str">
        <f>VLOOKUP($A2,' Lista de Entrevistas'!$A$1:$I$222,4,FALSE)</f>
        <v>VP Financeiro e Relações Investidores</v>
      </c>
      <c r="D2" s="72"/>
      <c r="E2" s="73" t="s">
        <v>5</v>
      </c>
      <c r="F2" s="73"/>
      <c r="G2" s="73" t="s">
        <v>283</v>
      </c>
      <c r="H2" s="72" t="s">
        <v>284</v>
      </c>
      <c r="I2" s="72"/>
      <c r="J2" s="72"/>
    </row>
    <row r="3" spans="1:10" s="63" customFormat="1" ht="28.8">
      <c r="A3" s="72">
        <v>15</v>
      </c>
      <c r="B3" s="72" t="str">
        <f>VLOOKUP($A3,' Lista de Entrevistas'!$A$1:$I$222,5,FALSE)</f>
        <v>Corporativo</v>
      </c>
      <c r="C3" s="72" t="str">
        <f>VLOOKUP($A3,' Lista de Entrevistas'!$A$1:$I$222,4,FALSE)</f>
        <v>VP Financeiro e Relações Investidores</v>
      </c>
      <c r="D3" s="72"/>
      <c r="E3" s="73" t="s">
        <v>5</v>
      </c>
      <c r="F3" s="73"/>
      <c r="G3" s="73" t="s">
        <v>283</v>
      </c>
      <c r="H3" s="72" t="s">
        <v>285</v>
      </c>
      <c r="I3" s="72"/>
      <c r="J3" s="72"/>
    </row>
    <row r="4" spans="1:10" s="63" customFormat="1" ht="28.8">
      <c r="A4" s="72">
        <v>15</v>
      </c>
      <c r="B4" s="72" t="str">
        <f>VLOOKUP($A4,' Lista de Entrevistas'!$A$1:$I$222,5,FALSE)</f>
        <v>Corporativo</v>
      </c>
      <c r="C4" s="72" t="str">
        <f>VLOOKUP($A4,' Lista de Entrevistas'!$A$1:$I$222,4,FALSE)</f>
        <v>VP Financeiro e Relações Investidores</v>
      </c>
      <c r="D4" s="72"/>
      <c r="E4" s="73" t="s">
        <v>5</v>
      </c>
      <c r="F4" s="73"/>
      <c r="G4" s="73" t="s">
        <v>283</v>
      </c>
      <c r="H4" s="72" t="s">
        <v>286</v>
      </c>
      <c r="I4" s="72"/>
      <c r="J4" s="72"/>
    </row>
    <row r="5" spans="1:10" s="63" customFormat="1" ht="28.8">
      <c r="A5" s="72">
        <v>15</v>
      </c>
      <c r="B5" s="72" t="str">
        <f>VLOOKUP($A5,' Lista de Entrevistas'!$A$1:$I$222,5,FALSE)</f>
        <v>Corporativo</v>
      </c>
      <c r="C5" s="72" t="str">
        <f>VLOOKUP($A5,' Lista de Entrevistas'!$A$1:$I$222,4,FALSE)</f>
        <v>VP Financeiro e Relações Investidores</v>
      </c>
      <c r="D5" s="72"/>
      <c r="E5" s="73" t="s">
        <v>5</v>
      </c>
      <c r="F5" s="73"/>
      <c r="G5" s="73" t="s">
        <v>283</v>
      </c>
      <c r="H5" s="72" t="s">
        <v>287</v>
      </c>
      <c r="I5" s="72"/>
      <c r="J5" s="72"/>
    </row>
    <row r="6" spans="1:10" s="63" customFormat="1" ht="28.8">
      <c r="A6" s="72">
        <v>15</v>
      </c>
      <c r="B6" s="72" t="str">
        <f>VLOOKUP($A6,' Lista de Entrevistas'!$A$1:$I$222,5,FALSE)</f>
        <v>Corporativo</v>
      </c>
      <c r="C6" s="72" t="str">
        <f>VLOOKUP($A6,' Lista de Entrevistas'!$A$1:$I$222,4,FALSE)</f>
        <v>VP Financeiro e Relações Investidores</v>
      </c>
      <c r="D6" s="72"/>
      <c r="E6" s="73" t="s">
        <v>10</v>
      </c>
      <c r="F6" s="73"/>
      <c r="G6" s="73" t="s">
        <v>288</v>
      </c>
      <c r="H6" s="72" t="s">
        <v>287</v>
      </c>
      <c r="I6" s="72"/>
      <c r="J6" s="72"/>
    </row>
    <row r="7" spans="1:10" s="63" customFormat="1" ht="28.8">
      <c r="A7" s="72">
        <v>15</v>
      </c>
      <c r="B7" s="72" t="str">
        <f>VLOOKUP($A7,' Lista de Entrevistas'!$A$1:$I$222,5,FALSE)</f>
        <v>Corporativo</v>
      </c>
      <c r="C7" s="72" t="str">
        <f>VLOOKUP($A7,' Lista de Entrevistas'!$A$1:$I$222,4,FALSE)</f>
        <v>VP Financeiro e Relações Investidores</v>
      </c>
      <c r="D7" s="72"/>
      <c r="E7" s="73" t="s">
        <v>10</v>
      </c>
      <c r="F7" s="73"/>
      <c r="G7" s="73" t="s">
        <v>288</v>
      </c>
      <c r="H7" s="72" t="s">
        <v>289</v>
      </c>
      <c r="I7" s="72"/>
      <c r="J7" s="72"/>
    </row>
    <row r="8" spans="1:10" s="63" customFormat="1" ht="28.8">
      <c r="A8" s="72">
        <v>15</v>
      </c>
      <c r="B8" s="72" t="str">
        <f>VLOOKUP($A8,' Lista de Entrevistas'!$A$1:$I$222,5,FALSE)</f>
        <v>Corporativo</v>
      </c>
      <c r="C8" s="72" t="str">
        <f>VLOOKUP($A8,' Lista de Entrevistas'!$A$1:$I$222,4,FALSE)</f>
        <v>VP Financeiro e Relações Investidores</v>
      </c>
      <c r="D8" s="72"/>
      <c r="E8" s="73" t="s">
        <v>10</v>
      </c>
      <c r="F8" s="73"/>
      <c r="G8" s="73" t="s">
        <v>288</v>
      </c>
      <c r="H8" s="72" t="s">
        <v>290</v>
      </c>
      <c r="I8" s="72"/>
      <c r="J8" s="72"/>
    </row>
    <row r="9" spans="1:10" s="63" customFormat="1" ht="32.4" customHeight="1">
      <c r="A9" s="72">
        <v>15</v>
      </c>
      <c r="B9" s="72" t="str">
        <f>VLOOKUP($A9,' Lista de Entrevistas'!$A$1:$I$222,5,FALSE)</f>
        <v>Corporativo</v>
      </c>
      <c r="C9" s="72" t="str">
        <f>VLOOKUP($A9,' Lista de Entrevistas'!$A$1:$I$222,4,FALSE)</f>
        <v>VP Financeiro e Relações Investidores</v>
      </c>
      <c r="D9" s="72"/>
      <c r="E9" s="73" t="s">
        <v>28</v>
      </c>
      <c r="F9" s="73"/>
      <c r="G9" s="73" t="s">
        <v>291</v>
      </c>
      <c r="H9" s="72" t="s">
        <v>292</v>
      </c>
      <c r="I9" s="72"/>
      <c r="J9" s="72"/>
    </row>
    <row r="10" spans="1:10" s="63" customFormat="1" ht="28.8">
      <c r="A10" s="72">
        <v>15</v>
      </c>
      <c r="B10" s="72" t="str">
        <f>VLOOKUP($A10,' Lista de Entrevistas'!$A$1:$I$222,5,FALSE)</f>
        <v>Corporativo</v>
      </c>
      <c r="C10" s="72" t="str">
        <f>VLOOKUP($A10,' Lista de Entrevistas'!$A$1:$I$222,4,FALSE)</f>
        <v>VP Financeiro e Relações Investidores</v>
      </c>
      <c r="D10" s="72"/>
      <c r="E10" s="73" t="s">
        <v>30</v>
      </c>
      <c r="F10" s="73"/>
      <c r="G10" s="73" t="s">
        <v>293</v>
      </c>
      <c r="H10" s="72" t="s">
        <v>294</v>
      </c>
      <c r="I10" s="72"/>
      <c r="J10" s="72"/>
    </row>
    <row r="11" spans="1:10" s="63" customFormat="1" ht="28.8">
      <c r="A11" s="72">
        <v>15</v>
      </c>
      <c r="B11" s="72" t="str">
        <f>VLOOKUP($A11,' Lista de Entrevistas'!$A$1:$I$222,5,FALSE)</f>
        <v>Corporativo</v>
      </c>
      <c r="C11" s="72" t="str">
        <f>VLOOKUP($A11,' Lista de Entrevistas'!$A$1:$I$222,4,FALSE)</f>
        <v>VP Financeiro e Relações Investidores</v>
      </c>
      <c r="D11" s="72"/>
      <c r="E11" s="73" t="s">
        <v>30</v>
      </c>
      <c r="F11" s="73"/>
      <c r="G11" s="73" t="s">
        <v>295</v>
      </c>
      <c r="H11" s="72" t="s">
        <v>296</v>
      </c>
      <c r="I11" s="72"/>
      <c r="J11" s="72"/>
    </row>
    <row r="12" spans="1:10" ht="57.6">
      <c r="A12" s="74">
        <v>16</v>
      </c>
      <c r="B12" s="74" t="str">
        <f>VLOOKUP($A12,' Lista de Entrevistas'!$A$1:$I$222,5,FALSE)</f>
        <v>Trilhos</v>
      </c>
      <c r="C12" s="74" t="str">
        <f>VLOOKUP($A12,' Lista de Entrevistas'!$A$1:$I$222,4,FALSE)</f>
        <v>VP Trilhos</v>
      </c>
      <c r="E12" s="68" t="s">
        <v>30</v>
      </c>
      <c r="F12" s="68" t="s">
        <v>297</v>
      </c>
      <c r="G12" s="68" t="s">
        <v>298</v>
      </c>
      <c r="H12" s="68" t="s">
        <v>299</v>
      </c>
      <c r="I12" s="74" t="s">
        <v>17</v>
      </c>
      <c r="J12" s="68" t="s">
        <v>8</v>
      </c>
    </row>
    <row r="13" spans="1:10" ht="57.6">
      <c r="A13" s="74">
        <v>16</v>
      </c>
      <c r="B13" s="74" t="str">
        <f>VLOOKUP($A13,' Lista de Entrevistas'!$A$1:$I$222,5,FALSE)</f>
        <v>Trilhos</v>
      </c>
      <c r="C13" s="74" t="str">
        <f>VLOOKUP($A13,' Lista de Entrevistas'!$A$1:$I$222,4,FALSE)</f>
        <v>VP Trilhos</v>
      </c>
      <c r="E13" s="68" t="s">
        <v>30</v>
      </c>
      <c r="F13" s="68" t="s">
        <v>297</v>
      </c>
      <c r="G13" s="68" t="s">
        <v>298</v>
      </c>
      <c r="H13" s="68" t="s">
        <v>300</v>
      </c>
      <c r="I13" s="74" t="s">
        <v>17</v>
      </c>
      <c r="J13" s="68" t="s">
        <v>8</v>
      </c>
    </row>
    <row r="14" spans="1:10" ht="43.2">
      <c r="A14" s="74">
        <v>16</v>
      </c>
      <c r="B14" s="74" t="str">
        <f>VLOOKUP($A14,' Lista de Entrevistas'!$A$1:$I$222,5,FALSE)</f>
        <v>Trilhos</v>
      </c>
      <c r="C14" s="74" t="str">
        <f>VLOOKUP($A14,' Lista de Entrevistas'!$A$1:$I$222,4,FALSE)</f>
        <v>VP Trilhos</v>
      </c>
      <c r="E14" s="68" t="s">
        <v>30</v>
      </c>
      <c r="F14" s="68" t="s">
        <v>301</v>
      </c>
      <c r="G14" s="68" t="s">
        <v>302</v>
      </c>
      <c r="H14" s="68" t="s">
        <v>300</v>
      </c>
      <c r="I14" s="74" t="s">
        <v>17</v>
      </c>
      <c r="J14" s="68" t="s">
        <v>8</v>
      </c>
    </row>
    <row r="15" spans="1:10" ht="43.2">
      <c r="A15" s="74">
        <v>16</v>
      </c>
      <c r="B15" s="74" t="str">
        <f>VLOOKUP($A15,' Lista de Entrevistas'!$A$1:$I$222,5,FALSE)</f>
        <v>Trilhos</v>
      </c>
      <c r="C15" s="74" t="str">
        <f>VLOOKUP($A15,' Lista de Entrevistas'!$A$1:$I$222,4,FALSE)</f>
        <v>VP Trilhos</v>
      </c>
      <c r="E15" s="68" t="s">
        <v>30</v>
      </c>
      <c r="F15" s="68" t="s">
        <v>301</v>
      </c>
      <c r="G15" s="68" t="s">
        <v>302</v>
      </c>
      <c r="H15" s="68" t="s">
        <v>299</v>
      </c>
      <c r="I15" s="74" t="s">
        <v>17</v>
      </c>
      <c r="J15" s="68" t="s">
        <v>8</v>
      </c>
    </row>
    <row r="16" spans="1:10" ht="43.2">
      <c r="A16" s="74">
        <v>16</v>
      </c>
      <c r="B16" s="74" t="str">
        <f>VLOOKUP($A16,' Lista de Entrevistas'!$A$1:$I$222,5,FALSE)</f>
        <v>Trilhos</v>
      </c>
      <c r="C16" s="74" t="str">
        <f>VLOOKUP($A16,' Lista de Entrevistas'!$A$1:$I$222,4,FALSE)</f>
        <v>VP Trilhos</v>
      </c>
      <c r="E16" s="68" t="s">
        <v>28</v>
      </c>
      <c r="F16" s="68" t="s">
        <v>303</v>
      </c>
      <c r="G16" s="68" t="s">
        <v>304</v>
      </c>
      <c r="H16" s="68" t="s">
        <v>305</v>
      </c>
      <c r="I16" s="74" t="s">
        <v>21</v>
      </c>
      <c r="J16" s="68" t="s">
        <v>8</v>
      </c>
    </row>
    <row r="17" spans="1:10" ht="43.2">
      <c r="A17" s="74">
        <v>16</v>
      </c>
      <c r="B17" s="74" t="str">
        <f>VLOOKUP($A17,' Lista de Entrevistas'!$A$1:$I$222,5,FALSE)</f>
        <v>Trilhos</v>
      </c>
      <c r="C17" s="74" t="str">
        <f>VLOOKUP($A17,' Lista de Entrevistas'!$A$1:$I$222,4,FALSE)</f>
        <v>VP Trilhos</v>
      </c>
      <c r="E17" s="68" t="s">
        <v>28</v>
      </c>
      <c r="F17" s="68" t="s">
        <v>303</v>
      </c>
      <c r="G17" s="68" t="s">
        <v>304</v>
      </c>
      <c r="H17" s="68" t="s">
        <v>299</v>
      </c>
      <c r="I17" s="74" t="s">
        <v>21</v>
      </c>
      <c r="J17" s="68" t="s">
        <v>8</v>
      </c>
    </row>
    <row r="18" spans="1:10" ht="43.2">
      <c r="A18" s="74">
        <v>16</v>
      </c>
      <c r="B18" s="74" t="str">
        <f>VLOOKUP($A18,' Lista de Entrevistas'!$A$1:$I$222,5,FALSE)</f>
        <v>Trilhos</v>
      </c>
      <c r="C18" s="74" t="str">
        <f>VLOOKUP($A18,' Lista de Entrevistas'!$A$1:$I$222,4,FALSE)</f>
        <v>VP Trilhos</v>
      </c>
      <c r="E18" s="68" t="s">
        <v>30</v>
      </c>
      <c r="F18" s="68" t="s">
        <v>306</v>
      </c>
      <c r="G18" s="68" t="s">
        <v>307</v>
      </c>
      <c r="H18" s="68" t="s">
        <v>299</v>
      </c>
      <c r="I18" s="74" t="s">
        <v>17</v>
      </c>
      <c r="J18" s="68" t="s">
        <v>8</v>
      </c>
    </row>
    <row r="19" spans="1:10" ht="57.6">
      <c r="A19" s="74">
        <v>16</v>
      </c>
      <c r="B19" s="74" t="str">
        <f>VLOOKUP($A19,' Lista de Entrevistas'!$A$1:$I$222,5,FALSE)</f>
        <v>Trilhos</v>
      </c>
      <c r="C19" s="74" t="str">
        <f>VLOOKUP($A19,' Lista de Entrevistas'!$A$1:$I$222,4,FALSE)</f>
        <v>VP Trilhos</v>
      </c>
      <c r="E19" s="68" t="s">
        <v>30</v>
      </c>
      <c r="F19" s="68" t="s">
        <v>297</v>
      </c>
      <c r="G19" s="68" t="s">
        <v>298</v>
      </c>
      <c r="H19" s="68" t="s">
        <v>299</v>
      </c>
      <c r="I19" s="74" t="s">
        <v>17</v>
      </c>
      <c r="J19" s="68" t="s">
        <v>8</v>
      </c>
    </row>
    <row r="20" spans="1:10" ht="57.6">
      <c r="A20" s="74">
        <v>13</v>
      </c>
      <c r="B20" s="74" t="str">
        <f>VLOOKUP($A20,' Lista de Entrevistas'!$A$1:$I$222,5,FALSE)</f>
        <v>Trilhos</v>
      </c>
      <c r="C20" s="74" t="str">
        <f>VLOOKUP($A20,' Lista de Entrevistas'!$A$1:$I$222,4,FALSE)</f>
        <v>VP Trilhos</v>
      </c>
      <c r="E20" s="68" t="s">
        <v>30</v>
      </c>
      <c r="F20" s="68" t="s">
        <v>308</v>
      </c>
      <c r="G20" s="68" t="s">
        <v>309</v>
      </c>
      <c r="H20" s="68" t="s">
        <v>299</v>
      </c>
      <c r="I20" s="68" t="s">
        <v>17</v>
      </c>
      <c r="J20" s="68" t="s">
        <v>13</v>
      </c>
    </row>
    <row r="21" spans="1:10" ht="57.6">
      <c r="A21" s="74">
        <v>13</v>
      </c>
      <c r="B21" s="74" t="str">
        <f>VLOOKUP($A21,' Lista de Entrevistas'!$A$1:$I$222,5,FALSE)</f>
        <v>Trilhos</v>
      </c>
      <c r="C21" s="74" t="str">
        <f>VLOOKUP($A21,' Lista de Entrevistas'!$A$1:$I$222,4,FALSE)</f>
        <v>VP Trilhos</v>
      </c>
      <c r="E21" s="68" t="s">
        <v>30</v>
      </c>
      <c r="F21" s="68" t="s">
        <v>308</v>
      </c>
      <c r="G21" s="68" t="s">
        <v>309</v>
      </c>
      <c r="H21" s="68" t="s">
        <v>300</v>
      </c>
      <c r="I21" s="68" t="s">
        <v>17</v>
      </c>
      <c r="J21" s="68" t="s">
        <v>13</v>
      </c>
    </row>
    <row r="22" spans="1:10" ht="57.6">
      <c r="A22" s="74">
        <v>13</v>
      </c>
      <c r="B22" s="74" t="str">
        <f>VLOOKUP($A22,' Lista de Entrevistas'!$A$1:$I$222,5,FALSE)</f>
        <v>Trilhos</v>
      </c>
      <c r="C22" s="74" t="str">
        <f>VLOOKUP($A22,' Lista de Entrevistas'!$A$1:$I$222,4,FALSE)</f>
        <v>VP Trilhos</v>
      </c>
      <c r="E22" s="68" t="s">
        <v>23</v>
      </c>
      <c r="F22" s="68" t="s">
        <v>310</v>
      </c>
      <c r="G22" s="68" t="s">
        <v>311</v>
      </c>
      <c r="H22" s="68" t="s">
        <v>312</v>
      </c>
      <c r="I22" s="68" t="s">
        <v>17</v>
      </c>
      <c r="J22" s="68" t="s">
        <v>8</v>
      </c>
    </row>
    <row r="23" spans="1:10" ht="57.6">
      <c r="A23" s="74">
        <v>13</v>
      </c>
      <c r="B23" s="74" t="str">
        <f>VLOOKUP($A23,' Lista de Entrevistas'!$A$1:$I$222,5,FALSE)</f>
        <v>Trilhos</v>
      </c>
      <c r="C23" s="74" t="str">
        <f>VLOOKUP($A23,' Lista de Entrevistas'!$A$1:$I$222,4,FALSE)</f>
        <v>VP Trilhos</v>
      </c>
      <c r="E23" s="68" t="s">
        <v>23</v>
      </c>
      <c r="F23" s="68" t="s">
        <v>310</v>
      </c>
      <c r="G23" s="68" t="s">
        <v>311</v>
      </c>
      <c r="H23" s="68" t="s">
        <v>313</v>
      </c>
      <c r="I23" s="68" t="s">
        <v>17</v>
      </c>
      <c r="J23" s="68" t="s">
        <v>8</v>
      </c>
    </row>
    <row r="24" spans="1:10" ht="57.6">
      <c r="A24" s="74">
        <v>13</v>
      </c>
      <c r="B24" s="74" t="str">
        <f>VLOOKUP($A24,' Lista de Entrevistas'!$A$1:$I$222,5,FALSE)</f>
        <v>Trilhos</v>
      </c>
      <c r="C24" s="74" t="str">
        <f>VLOOKUP($A24,' Lista de Entrevistas'!$A$1:$I$222,4,FALSE)</f>
        <v>VP Trilhos</v>
      </c>
      <c r="E24" s="68" t="s">
        <v>23</v>
      </c>
      <c r="F24" s="68" t="s">
        <v>310</v>
      </c>
      <c r="G24" s="68" t="s">
        <v>311</v>
      </c>
      <c r="H24" s="68" t="s">
        <v>299</v>
      </c>
      <c r="I24" s="68" t="s">
        <v>17</v>
      </c>
      <c r="J24" s="68" t="s">
        <v>8</v>
      </c>
    </row>
    <row r="25" spans="1:10" ht="43.2">
      <c r="A25" s="74">
        <v>13</v>
      </c>
      <c r="B25" s="74" t="str">
        <f>VLOOKUP($A25,' Lista de Entrevistas'!$A$1:$I$222,5,FALSE)</f>
        <v>Trilhos</v>
      </c>
      <c r="C25" s="74" t="str">
        <f>VLOOKUP($A25,' Lista de Entrevistas'!$A$1:$I$222,4,FALSE)</f>
        <v>VP Trilhos</v>
      </c>
      <c r="E25" s="68" t="s">
        <v>23</v>
      </c>
      <c r="F25" s="68" t="s">
        <v>314</v>
      </c>
      <c r="G25" s="68" t="s">
        <v>311</v>
      </c>
      <c r="H25" s="68" t="s">
        <v>312</v>
      </c>
      <c r="I25" s="68" t="s">
        <v>17</v>
      </c>
      <c r="J25" s="68" t="s">
        <v>8</v>
      </c>
    </row>
    <row r="26" spans="1:10" ht="43.2">
      <c r="A26" s="74">
        <v>13</v>
      </c>
      <c r="B26" s="74" t="str">
        <f>VLOOKUP($A26,' Lista de Entrevistas'!$A$1:$I$222,5,FALSE)</f>
        <v>Trilhos</v>
      </c>
      <c r="C26" s="74" t="str">
        <f>VLOOKUP($A26,' Lista de Entrevistas'!$A$1:$I$222,4,FALSE)</f>
        <v>VP Trilhos</v>
      </c>
      <c r="E26" s="68" t="s">
        <v>23</v>
      </c>
      <c r="F26" s="68" t="s">
        <v>314</v>
      </c>
      <c r="G26" s="68" t="s">
        <v>311</v>
      </c>
      <c r="H26" s="68" t="s">
        <v>313</v>
      </c>
      <c r="I26" s="68" t="s">
        <v>17</v>
      </c>
      <c r="J26" s="68" t="s">
        <v>8</v>
      </c>
    </row>
    <row r="27" spans="1:10" ht="43.2">
      <c r="A27" s="74">
        <v>13</v>
      </c>
      <c r="B27" s="74" t="str">
        <f>VLOOKUP($A27,' Lista de Entrevistas'!$A$1:$I$222,5,FALSE)</f>
        <v>Trilhos</v>
      </c>
      <c r="C27" s="74" t="str">
        <f>VLOOKUP($A27,' Lista de Entrevistas'!$A$1:$I$222,4,FALSE)</f>
        <v>VP Trilhos</v>
      </c>
      <c r="E27" s="68" t="s">
        <v>23</v>
      </c>
      <c r="F27" s="68" t="s">
        <v>314</v>
      </c>
      <c r="G27" s="68" t="s">
        <v>311</v>
      </c>
      <c r="H27" s="68" t="s">
        <v>299</v>
      </c>
      <c r="I27" s="68" t="s">
        <v>17</v>
      </c>
      <c r="J27" s="68" t="s">
        <v>8</v>
      </c>
    </row>
    <row r="28" spans="1:10" ht="43.2">
      <c r="A28" s="74">
        <v>13</v>
      </c>
      <c r="B28" s="74" t="str">
        <f>VLOOKUP($A28,' Lista de Entrevistas'!$A$1:$I$222,5,FALSE)</f>
        <v>Trilhos</v>
      </c>
      <c r="C28" s="74" t="str">
        <f>VLOOKUP($A28,' Lista de Entrevistas'!$A$1:$I$222,4,FALSE)</f>
        <v>VP Trilhos</v>
      </c>
      <c r="E28" s="68" t="s">
        <v>30</v>
      </c>
      <c r="F28" s="68" t="s">
        <v>315</v>
      </c>
      <c r="G28" s="68" t="s">
        <v>307</v>
      </c>
      <c r="H28" s="68" t="s">
        <v>299</v>
      </c>
      <c r="I28" s="68" t="s">
        <v>17</v>
      </c>
      <c r="J28" s="68" t="s">
        <v>8</v>
      </c>
    </row>
  </sheetData>
  <autoFilter ref="A1:J1" xr:uid="{54D3E472-9D75-4901-96C0-69918E6A34C1}"/>
  <pageMargins left="0.511811024" right="0.511811024" top="0.78740157499999996" bottom="0.78740157499999996" header="0.31496062000000002" footer="0.31496062000000002"/>
  <extLst>
    <ext xmlns:x14="http://schemas.microsoft.com/office/spreadsheetml/2009/9/main" uri="{CCE6A557-97BC-4b89-ADB6-D9C93CAAB3DF}">
      <x14:dataValidations xmlns:xm="http://schemas.microsoft.com/office/excel/2006/main" count="3">
        <x14:dataValidation type="list" allowBlank="1" showInputMessage="1" showErrorMessage="1" xr:uid="{9FD485CB-E8FE-46CC-9D23-5FC2C430BB29}">
          <x14:formula1>
            <xm:f>Listas!$B$2:$B$9</xm:f>
          </x14:formula1>
          <xm:sqref>E2:E11 E15</xm:sqref>
        </x14:dataValidation>
        <x14:dataValidation type="list" allowBlank="1" showInputMessage="1" showErrorMessage="1" xr:uid="{423BA421-0AB2-4DAF-B593-8E57BF4F2CC4}">
          <x14:formula1>
            <xm:f>Listas!$F$2:$F$3</xm:f>
          </x14:formula1>
          <xm:sqref>J2:J15</xm:sqref>
        </x14:dataValidation>
        <x14:dataValidation type="list" allowBlank="1" showInputMessage="1" showErrorMessage="1" xr:uid="{98C6BD26-BFE1-476C-B2ED-A9F1D7F45E39}">
          <x14:formula1>
            <xm:f>Listas!$E$2:$E$6</xm:f>
          </x14:formula1>
          <xm:sqref>I2:I11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B22EC-9E8C-476F-A7D0-8B87E9267279}">
  <sheetPr>
    <tabColor theme="9" tint="-0.249977111117893"/>
  </sheetPr>
  <dimension ref="A1:I9"/>
  <sheetViews>
    <sheetView workbookViewId="0">
      <selection activeCell="H2" sqref="H2"/>
    </sheetView>
  </sheetViews>
  <sheetFormatPr defaultRowHeight="60.6" customHeight="1"/>
  <cols>
    <col min="1" max="1" width="16.44140625" customWidth="1"/>
    <col min="2" max="2" width="29.109375" customWidth="1"/>
    <col min="3" max="3" width="42.6640625" customWidth="1"/>
    <col min="4" max="4" width="17.33203125" customWidth="1"/>
    <col min="5" max="5" width="23.88671875" customWidth="1"/>
    <col min="6" max="6" width="14.88671875" customWidth="1"/>
    <col min="7" max="7" width="9.6640625" customWidth="1"/>
    <col min="8" max="8" width="58.6640625" customWidth="1"/>
    <col min="9" max="9" width="52.44140625" customWidth="1"/>
  </cols>
  <sheetData>
    <row r="1" spans="1:9" ht="35.4" customHeight="1">
      <c r="A1" s="76" t="s">
        <v>58</v>
      </c>
      <c r="B1" s="76" t="s">
        <v>316</v>
      </c>
      <c r="C1" s="76" t="s">
        <v>317</v>
      </c>
      <c r="D1" s="76" t="s">
        <v>2</v>
      </c>
      <c r="E1" s="76" t="s">
        <v>60</v>
      </c>
      <c r="F1" s="76" t="s">
        <v>3</v>
      </c>
      <c r="G1" s="76" t="s">
        <v>318</v>
      </c>
      <c r="H1" s="76" t="s">
        <v>319</v>
      </c>
      <c r="I1" s="76" t="s">
        <v>320</v>
      </c>
    </row>
    <row r="2" spans="1:9" ht="60.6" customHeight="1">
      <c r="A2" s="5" t="s">
        <v>28</v>
      </c>
      <c r="B2" s="5" t="s">
        <v>304</v>
      </c>
      <c r="C2" s="5" t="s">
        <v>321</v>
      </c>
      <c r="D2" s="5" t="s">
        <v>21</v>
      </c>
      <c r="E2" s="5" t="s">
        <v>322</v>
      </c>
      <c r="F2" s="5" t="s">
        <v>8</v>
      </c>
      <c r="G2" s="5">
        <v>8</v>
      </c>
      <c r="H2" s="5" t="s">
        <v>323</v>
      </c>
      <c r="I2" s="5" t="s">
        <v>324</v>
      </c>
    </row>
    <row r="3" spans="1:9" ht="60.6" customHeight="1">
      <c r="A3" s="5" t="s">
        <v>10</v>
      </c>
      <c r="B3" s="5" t="s">
        <v>325</v>
      </c>
      <c r="C3" s="5" t="s">
        <v>326</v>
      </c>
      <c r="D3" s="5" t="s">
        <v>12</v>
      </c>
      <c r="E3" s="5" t="s">
        <v>327</v>
      </c>
      <c r="F3" s="5" t="s">
        <v>8</v>
      </c>
      <c r="G3" s="5">
        <v>5</v>
      </c>
      <c r="H3" s="5" t="s">
        <v>328</v>
      </c>
      <c r="I3" s="5" t="s">
        <v>329</v>
      </c>
    </row>
    <row r="4" spans="1:9" ht="60.6" customHeight="1">
      <c r="A4" s="5" t="s">
        <v>23</v>
      </c>
      <c r="B4" s="5" t="s">
        <v>311</v>
      </c>
      <c r="C4" s="5" t="s">
        <v>330</v>
      </c>
      <c r="D4" s="5" t="s">
        <v>17</v>
      </c>
      <c r="E4" s="5" t="s">
        <v>331</v>
      </c>
      <c r="F4" s="5" t="s">
        <v>8</v>
      </c>
      <c r="G4" s="5">
        <v>4</v>
      </c>
      <c r="H4" s="5" t="s">
        <v>332</v>
      </c>
      <c r="I4" s="5" t="s">
        <v>333</v>
      </c>
    </row>
    <row r="5" spans="1:9" ht="60.6" customHeight="1">
      <c r="A5" s="5" t="s">
        <v>30</v>
      </c>
      <c r="B5" s="5" t="s">
        <v>298</v>
      </c>
      <c r="C5" s="5" t="s">
        <v>334</v>
      </c>
      <c r="D5" s="5" t="s">
        <v>17</v>
      </c>
      <c r="E5" s="5" t="s">
        <v>335</v>
      </c>
      <c r="F5" s="5" t="s">
        <v>8</v>
      </c>
      <c r="G5" s="5">
        <v>4</v>
      </c>
      <c r="H5" s="5" t="s">
        <v>336</v>
      </c>
      <c r="I5" s="5" t="s">
        <v>337</v>
      </c>
    </row>
    <row r="6" spans="1:9" ht="60.6" customHeight="1">
      <c r="A6" s="5" t="s">
        <v>30</v>
      </c>
      <c r="B6" s="5" t="s">
        <v>338</v>
      </c>
      <c r="C6" s="5" t="s">
        <v>339</v>
      </c>
      <c r="D6" s="5" t="s">
        <v>17</v>
      </c>
      <c r="E6" s="5" t="s">
        <v>340</v>
      </c>
      <c r="F6" s="5" t="s">
        <v>8</v>
      </c>
      <c r="G6" s="5">
        <v>3</v>
      </c>
      <c r="H6" s="5" t="s">
        <v>341</v>
      </c>
      <c r="I6" s="5" t="s">
        <v>342</v>
      </c>
    </row>
    <row r="7" spans="1:9" ht="60.6" customHeight="1">
      <c r="A7" s="5" t="s">
        <v>19</v>
      </c>
      <c r="B7" s="5" t="s">
        <v>343</v>
      </c>
      <c r="C7" s="5" t="s">
        <v>344</v>
      </c>
      <c r="D7" s="5" t="s">
        <v>17</v>
      </c>
      <c r="E7" s="5" t="s">
        <v>345</v>
      </c>
      <c r="F7" s="5" t="s">
        <v>8</v>
      </c>
      <c r="G7" s="5">
        <v>3</v>
      </c>
      <c r="H7" s="5" t="s">
        <v>346</v>
      </c>
      <c r="I7" s="5" t="s">
        <v>347</v>
      </c>
    </row>
    <row r="8" spans="1:9" ht="60.6" customHeight="1">
      <c r="A8" s="5" t="s">
        <v>26</v>
      </c>
      <c r="B8" s="5" t="s">
        <v>348</v>
      </c>
      <c r="C8" s="5" t="s">
        <v>349</v>
      </c>
      <c r="D8" s="5" t="s">
        <v>12</v>
      </c>
      <c r="E8" s="5" t="s">
        <v>350</v>
      </c>
      <c r="F8" s="5" t="s">
        <v>8</v>
      </c>
      <c r="G8" s="5">
        <v>2</v>
      </c>
      <c r="H8" s="5" t="s">
        <v>351</v>
      </c>
      <c r="I8" s="5" t="s">
        <v>352</v>
      </c>
    </row>
    <row r="9" spans="1:9" ht="60.6" customHeight="1">
      <c r="A9" s="5" t="s">
        <v>5</v>
      </c>
      <c r="B9" s="5" t="s">
        <v>353</v>
      </c>
      <c r="C9" s="5" t="s">
        <v>354</v>
      </c>
      <c r="D9" s="5" t="s">
        <v>17</v>
      </c>
      <c r="E9" s="5" t="s">
        <v>355</v>
      </c>
      <c r="F9" s="5" t="s">
        <v>8</v>
      </c>
      <c r="G9" s="5">
        <v>2</v>
      </c>
      <c r="H9" s="5" t="s">
        <v>356</v>
      </c>
      <c r="I9" s="5" t="s">
        <v>357</v>
      </c>
    </row>
  </sheetData>
  <autoFilter ref="A1:I1" xr:uid="{704B22EC-9E8C-476F-A7D0-8B87E9267279}"/>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538FB-CB5A-4DDD-B041-8033E1D55FF6}">
  <sheetPr>
    <tabColor theme="9" tint="-0.249977111117893"/>
  </sheetPr>
  <dimension ref="A1:C39"/>
  <sheetViews>
    <sheetView workbookViewId="0">
      <selection activeCell="B1" sqref="B1"/>
    </sheetView>
  </sheetViews>
  <sheetFormatPr defaultRowHeight="14.4"/>
  <cols>
    <col min="2" max="2" width="56" customWidth="1"/>
    <col min="3" max="3" width="26.6640625" bestFit="1" customWidth="1"/>
  </cols>
  <sheetData>
    <row r="1" spans="1:3">
      <c r="A1">
        <v>1</v>
      </c>
      <c r="B1" t="s">
        <v>304</v>
      </c>
      <c r="C1" t="s">
        <v>358</v>
      </c>
    </row>
    <row r="2" spans="1:3">
      <c r="A2">
        <f t="shared" ref="A2:A8" si="0">A1+1</f>
        <v>2</v>
      </c>
      <c r="B2" t="s">
        <v>304</v>
      </c>
      <c r="C2" t="s">
        <v>358</v>
      </c>
    </row>
    <row r="3" spans="1:3">
      <c r="A3">
        <f t="shared" si="0"/>
        <v>3</v>
      </c>
      <c r="B3" t="s">
        <v>304</v>
      </c>
      <c r="C3" t="s">
        <v>358</v>
      </c>
    </row>
    <row r="4" spans="1:3">
      <c r="A4">
        <f t="shared" si="0"/>
        <v>4</v>
      </c>
      <c r="B4" t="s">
        <v>304</v>
      </c>
      <c r="C4" t="s">
        <v>358</v>
      </c>
    </row>
    <row r="5" spans="1:3">
      <c r="A5">
        <f t="shared" si="0"/>
        <v>5</v>
      </c>
      <c r="B5" t="s">
        <v>304</v>
      </c>
      <c r="C5" t="s">
        <v>358</v>
      </c>
    </row>
    <row r="6" spans="1:3">
      <c r="A6">
        <f t="shared" si="0"/>
        <v>6</v>
      </c>
      <c r="B6" t="s">
        <v>304</v>
      </c>
      <c r="C6" t="s">
        <v>358</v>
      </c>
    </row>
    <row r="7" spans="1:3">
      <c r="A7">
        <f t="shared" si="0"/>
        <v>7</v>
      </c>
      <c r="B7" t="s">
        <v>304</v>
      </c>
      <c r="C7" t="s">
        <v>358</v>
      </c>
    </row>
    <row r="8" spans="1:3">
      <c r="A8">
        <f t="shared" si="0"/>
        <v>8</v>
      </c>
      <c r="B8" t="s">
        <v>304</v>
      </c>
      <c r="C8" t="s">
        <v>358</v>
      </c>
    </row>
    <row r="9" spans="1:3">
      <c r="A9">
        <v>1</v>
      </c>
      <c r="B9" t="s">
        <v>325</v>
      </c>
      <c r="C9" t="s">
        <v>359</v>
      </c>
    </row>
    <row r="10" spans="1:3">
      <c r="A10">
        <v>2</v>
      </c>
      <c r="B10" t="s">
        <v>325</v>
      </c>
      <c r="C10" t="s">
        <v>359</v>
      </c>
    </row>
    <row r="11" spans="1:3">
      <c r="A11">
        <v>3</v>
      </c>
      <c r="B11" t="s">
        <v>325</v>
      </c>
      <c r="C11" t="s">
        <v>359</v>
      </c>
    </row>
    <row r="12" spans="1:3">
      <c r="A12">
        <v>4</v>
      </c>
      <c r="B12" t="s">
        <v>325</v>
      </c>
      <c r="C12" t="s">
        <v>359</v>
      </c>
    </row>
    <row r="13" spans="1:3">
      <c r="A13">
        <v>5</v>
      </c>
      <c r="B13" t="s">
        <v>325</v>
      </c>
      <c r="C13" t="s">
        <v>359</v>
      </c>
    </row>
    <row r="14" spans="1:3">
      <c r="A14">
        <v>1</v>
      </c>
      <c r="B14" t="s">
        <v>311</v>
      </c>
      <c r="C14" t="s">
        <v>360</v>
      </c>
    </row>
    <row r="15" spans="1:3">
      <c r="A15">
        <v>2</v>
      </c>
      <c r="B15" t="s">
        <v>311</v>
      </c>
      <c r="C15" t="s">
        <v>360</v>
      </c>
    </row>
    <row r="16" spans="1:3">
      <c r="A16">
        <v>3</v>
      </c>
      <c r="B16" t="s">
        <v>311</v>
      </c>
      <c r="C16" t="s">
        <v>360</v>
      </c>
    </row>
    <row r="17" spans="1:3">
      <c r="A17">
        <v>4</v>
      </c>
      <c r="B17" t="s">
        <v>311</v>
      </c>
      <c r="C17" t="s">
        <v>360</v>
      </c>
    </row>
    <row r="18" spans="1:3">
      <c r="A18">
        <v>1</v>
      </c>
      <c r="B18" t="s">
        <v>298</v>
      </c>
      <c r="C18" t="s">
        <v>361</v>
      </c>
    </row>
    <row r="19" spans="1:3">
      <c r="A19">
        <v>2</v>
      </c>
      <c r="B19" t="s">
        <v>298</v>
      </c>
      <c r="C19" t="s">
        <v>361</v>
      </c>
    </row>
    <row r="20" spans="1:3">
      <c r="A20">
        <v>3</v>
      </c>
      <c r="B20" t="s">
        <v>298</v>
      </c>
      <c r="C20" t="s">
        <v>361</v>
      </c>
    </row>
    <row r="21" spans="1:3">
      <c r="A21">
        <v>4</v>
      </c>
      <c r="B21" t="s">
        <v>298</v>
      </c>
      <c r="C21" t="s">
        <v>361</v>
      </c>
    </row>
    <row r="22" spans="1:3">
      <c r="A22">
        <v>1</v>
      </c>
      <c r="B22" t="s">
        <v>343</v>
      </c>
      <c r="C22" t="s">
        <v>362</v>
      </c>
    </row>
    <row r="23" spans="1:3">
      <c r="A23">
        <v>2</v>
      </c>
      <c r="B23" t="s">
        <v>343</v>
      </c>
      <c r="C23" t="s">
        <v>362</v>
      </c>
    </row>
    <row r="24" spans="1:3">
      <c r="A24">
        <v>3</v>
      </c>
      <c r="B24" t="s">
        <v>343</v>
      </c>
      <c r="C24" t="s">
        <v>362</v>
      </c>
    </row>
    <row r="25" spans="1:3">
      <c r="A25">
        <v>1</v>
      </c>
      <c r="B25" t="s">
        <v>338</v>
      </c>
      <c r="C25" t="s">
        <v>363</v>
      </c>
    </row>
    <row r="26" spans="1:3">
      <c r="A26">
        <v>2</v>
      </c>
      <c r="B26" t="s">
        <v>338</v>
      </c>
      <c r="C26" t="s">
        <v>363</v>
      </c>
    </row>
    <row r="27" spans="1:3">
      <c r="A27">
        <v>3</v>
      </c>
      <c r="B27" t="s">
        <v>338</v>
      </c>
      <c r="C27" t="s">
        <v>363</v>
      </c>
    </row>
    <row r="28" spans="1:3">
      <c r="A28">
        <v>1</v>
      </c>
      <c r="B28" t="s">
        <v>353</v>
      </c>
    </row>
    <row r="29" spans="1:3">
      <c r="A29">
        <v>2</v>
      </c>
      <c r="B29" t="s">
        <v>353</v>
      </c>
    </row>
    <row r="30" spans="1:3">
      <c r="A30">
        <v>1</v>
      </c>
      <c r="B30" s="4" t="s">
        <v>364</v>
      </c>
      <c r="C30" t="s">
        <v>365</v>
      </c>
    </row>
    <row r="31" spans="1:3">
      <c r="A31">
        <v>2</v>
      </c>
      <c r="B31" s="4" t="s">
        <v>364</v>
      </c>
    </row>
    <row r="32" spans="1:3">
      <c r="A32">
        <v>1</v>
      </c>
      <c r="B32" t="s">
        <v>302</v>
      </c>
    </row>
    <row r="33" spans="1:3">
      <c r="A33">
        <v>2</v>
      </c>
      <c r="B33" t="s">
        <v>302</v>
      </c>
    </row>
    <row r="34" spans="1:3">
      <c r="A34">
        <v>1</v>
      </c>
      <c r="B34" t="s">
        <v>307</v>
      </c>
      <c r="C34" t="s">
        <v>366</v>
      </c>
    </row>
    <row r="35" spans="1:3">
      <c r="A35">
        <v>2</v>
      </c>
      <c r="B35" t="s">
        <v>307</v>
      </c>
    </row>
    <row r="36" spans="1:3">
      <c r="A36">
        <v>1</v>
      </c>
      <c r="B36" s="4" t="s">
        <v>367</v>
      </c>
    </row>
    <row r="37" spans="1:3">
      <c r="A37">
        <v>2</v>
      </c>
      <c r="B37" s="4" t="s">
        <v>367</v>
      </c>
    </row>
    <row r="38" spans="1:3">
      <c r="A38">
        <v>1</v>
      </c>
      <c r="B38" t="s">
        <v>368</v>
      </c>
      <c r="C38" t="s">
        <v>369</v>
      </c>
    </row>
    <row r="39" spans="1:3">
      <c r="A39">
        <v>2</v>
      </c>
      <c r="B39" t="s">
        <v>368</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BA7D0-B9B3-4B23-B33B-F097A2DAA78F}">
  <sheetPr>
    <tabColor theme="9" tint="-0.249977111117893"/>
  </sheetPr>
  <dimension ref="A1:F1"/>
  <sheetViews>
    <sheetView workbookViewId="0">
      <selection activeCell="H17" sqref="H17"/>
    </sheetView>
  </sheetViews>
  <sheetFormatPr defaultRowHeight="14.4"/>
  <cols>
    <col min="1" max="1" width="5.33203125" bestFit="1" customWidth="1"/>
    <col min="2" max="2" width="6.88671875" bestFit="1" customWidth="1"/>
    <col min="3" max="3" width="6.6640625" bestFit="1" customWidth="1"/>
    <col min="4" max="4" width="7.44140625" bestFit="1" customWidth="1"/>
    <col min="5" max="5" width="9" bestFit="1" customWidth="1"/>
    <col min="6" max="6" width="13.109375" bestFit="1" customWidth="1"/>
  </cols>
  <sheetData>
    <row r="1" spans="1:6">
      <c r="A1" s="2" t="s">
        <v>370</v>
      </c>
      <c r="B1" s="2" t="s">
        <v>371</v>
      </c>
      <c r="C1" s="2" t="s">
        <v>372</v>
      </c>
      <c r="D1" s="2" t="s">
        <v>373</v>
      </c>
      <c r="E1" s="2" t="s">
        <v>374</v>
      </c>
      <c r="F1" s="2" t="s">
        <v>375</v>
      </c>
    </row>
  </sheetData>
  <pageMargins left="0.511811024" right="0.511811024" top="0.78740157499999996" bottom="0.78740157499999996" header="0.31496062000000002" footer="0.31496062000000002"/>
  <extLst>
    <ext xmlns:x14="http://schemas.microsoft.com/office/spreadsheetml/2009/9/main" uri="{CCE6A557-97BC-4b89-ADB6-D9C93CAAB3DF}">
      <x14:dataValidations xmlns:xm="http://schemas.microsoft.com/office/excel/2006/main" count="2">
        <x14:dataValidation type="list" allowBlank="1" showInputMessage="1" showErrorMessage="1" xr:uid="{B2405B49-96A0-48C4-B7AD-5F3E93160940}">
          <x14:formula1>
            <xm:f>Listas!$G$2:$G$8</xm:f>
          </x14:formula1>
          <xm:sqref>F2:F13</xm:sqref>
        </x14:dataValidation>
        <x14:dataValidation type="list" allowBlank="1" showInputMessage="1" showErrorMessage="1" xr:uid="{0F5F53A5-1A38-46AE-B426-9436E9B9435A}">
          <x14:formula1>
            <xm:f>Listas!$G$2:$G$65+Listas!$G$2:$G$9</xm:f>
          </x14:formula1>
          <xm:sqref>F14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3323B-CBBD-4B12-BDCC-595563DA314E}">
  <sheetPr>
    <tabColor theme="2" tint="-0.499984740745262"/>
  </sheetPr>
  <dimension ref="A1:J43"/>
  <sheetViews>
    <sheetView workbookViewId="0">
      <selection activeCell="C3" sqref="C3"/>
    </sheetView>
  </sheetViews>
  <sheetFormatPr defaultRowHeight="14.4"/>
  <sheetData>
    <row r="1" spans="1:10" ht="57.6">
      <c r="A1" s="65" t="s">
        <v>73</v>
      </c>
      <c r="B1" s="65" t="s">
        <v>77</v>
      </c>
      <c r="C1" s="65" t="s">
        <v>76</v>
      </c>
      <c r="D1" s="65" t="s">
        <v>117</v>
      </c>
      <c r="E1" s="65" t="s">
        <v>58</v>
      </c>
      <c r="F1" s="65" t="s">
        <v>376</v>
      </c>
      <c r="G1" s="65" t="s">
        <v>316</v>
      </c>
      <c r="H1" s="65" t="s">
        <v>120</v>
      </c>
      <c r="I1" s="65" t="s">
        <v>2</v>
      </c>
      <c r="J1" s="65" t="s">
        <v>3</v>
      </c>
    </row>
    <row r="2" spans="1:10" ht="273.60000000000002">
      <c r="A2" s="64" t="s">
        <v>113</v>
      </c>
      <c r="B2" s="64" t="s">
        <v>121</v>
      </c>
      <c r="C2" s="64" t="s">
        <v>377</v>
      </c>
      <c r="D2" s="64" t="s">
        <v>378</v>
      </c>
      <c r="E2" s="64" t="s">
        <v>30</v>
      </c>
      <c r="F2" s="64" t="s">
        <v>297</v>
      </c>
      <c r="G2" s="64" t="s">
        <v>298</v>
      </c>
      <c r="H2" s="64" t="s">
        <v>299</v>
      </c>
      <c r="I2" s="64" t="s">
        <v>17</v>
      </c>
      <c r="J2" s="64" t="s">
        <v>8</v>
      </c>
    </row>
    <row r="3" spans="1:10" ht="273.60000000000002">
      <c r="A3" s="64" t="s">
        <v>113</v>
      </c>
      <c r="B3" s="64" t="s">
        <v>121</v>
      </c>
      <c r="C3" s="64" t="s">
        <v>377</v>
      </c>
      <c r="D3" s="64" t="s">
        <v>378</v>
      </c>
      <c r="E3" s="64" t="s">
        <v>30</v>
      </c>
      <c r="F3" s="64" t="s">
        <v>297</v>
      </c>
      <c r="G3" s="64" t="s">
        <v>298</v>
      </c>
      <c r="H3" s="64" t="s">
        <v>300</v>
      </c>
      <c r="I3" s="64" t="s">
        <v>17</v>
      </c>
      <c r="J3" s="64" t="s">
        <v>8</v>
      </c>
    </row>
    <row r="4" spans="1:10" ht="172.8">
      <c r="A4" s="64" t="s">
        <v>113</v>
      </c>
      <c r="B4" s="64" t="s">
        <v>121</v>
      </c>
      <c r="C4" s="64" t="s">
        <v>377</v>
      </c>
      <c r="D4" s="64" t="s">
        <v>378</v>
      </c>
      <c r="E4" s="64" t="s">
        <v>30</v>
      </c>
      <c r="F4" s="64" t="s">
        <v>301</v>
      </c>
      <c r="G4" s="64" t="s">
        <v>302</v>
      </c>
      <c r="H4" s="64" t="s">
        <v>300</v>
      </c>
      <c r="I4" s="64" t="s">
        <v>17</v>
      </c>
      <c r="J4" s="64" t="s">
        <v>8</v>
      </c>
    </row>
    <row r="5" spans="1:10" ht="172.8">
      <c r="A5" s="64" t="s">
        <v>113</v>
      </c>
      <c r="B5" s="64" t="s">
        <v>121</v>
      </c>
      <c r="C5" s="64" t="s">
        <v>377</v>
      </c>
      <c r="D5" s="64" t="s">
        <v>378</v>
      </c>
      <c r="E5" s="64" t="s">
        <v>30</v>
      </c>
      <c r="F5" s="64" t="s">
        <v>301</v>
      </c>
      <c r="G5" s="64" t="s">
        <v>302</v>
      </c>
      <c r="H5" s="64" t="s">
        <v>299</v>
      </c>
      <c r="I5" s="64" t="s">
        <v>17</v>
      </c>
      <c r="J5" s="64" t="s">
        <v>8</v>
      </c>
    </row>
    <row r="6" spans="1:10" ht="172.8">
      <c r="A6" s="64" t="s">
        <v>113</v>
      </c>
      <c r="B6" s="64" t="s">
        <v>121</v>
      </c>
      <c r="C6" s="64" t="s">
        <v>377</v>
      </c>
      <c r="D6" s="64" t="s">
        <v>378</v>
      </c>
      <c r="E6" s="64" t="s">
        <v>28</v>
      </c>
      <c r="F6" s="64" t="s">
        <v>303</v>
      </c>
      <c r="G6" s="64" t="s">
        <v>304</v>
      </c>
      <c r="H6" s="64" t="s">
        <v>305</v>
      </c>
      <c r="I6" s="64" t="s">
        <v>21</v>
      </c>
      <c r="J6" s="64" t="s">
        <v>8</v>
      </c>
    </row>
    <row r="7" spans="1:10" ht="172.8">
      <c r="A7" s="64" t="s">
        <v>113</v>
      </c>
      <c r="B7" s="64" t="s">
        <v>121</v>
      </c>
      <c r="C7" s="64" t="s">
        <v>377</v>
      </c>
      <c r="D7" s="64" t="s">
        <v>378</v>
      </c>
      <c r="E7" s="64" t="s">
        <v>28</v>
      </c>
      <c r="F7" s="64" t="s">
        <v>303</v>
      </c>
      <c r="G7" s="64" t="s">
        <v>304</v>
      </c>
      <c r="H7" s="64" t="s">
        <v>299</v>
      </c>
      <c r="I7" s="64" t="s">
        <v>21</v>
      </c>
      <c r="J7" s="64" t="s">
        <v>8</v>
      </c>
    </row>
    <row r="8" spans="1:10" ht="187.2">
      <c r="A8" s="64" t="s">
        <v>113</v>
      </c>
      <c r="B8" s="64" t="s">
        <v>121</v>
      </c>
      <c r="C8" s="64" t="s">
        <v>377</v>
      </c>
      <c r="D8" s="64" t="s">
        <v>378</v>
      </c>
      <c r="E8" s="64" t="s">
        <v>30</v>
      </c>
      <c r="F8" s="64" t="s">
        <v>306</v>
      </c>
      <c r="G8" s="64" t="s">
        <v>307</v>
      </c>
      <c r="H8" s="64" t="s">
        <v>299</v>
      </c>
      <c r="I8" s="64" t="s">
        <v>17</v>
      </c>
      <c r="J8" s="64" t="s">
        <v>8</v>
      </c>
    </row>
    <row r="9" spans="1:10" ht="273.60000000000002">
      <c r="A9" s="64" t="s">
        <v>113</v>
      </c>
      <c r="B9" s="64" t="s">
        <v>121</v>
      </c>
      <c r="C9" s="64" t="s">
        <v>377</v>
      </c>
      <c r="D9" s="64" t="s">
        <v>378</v>
      </c>
      <c r="E9" s="64" t="s">
        <v>30</v>
      </c>
      <c r="F9" s="64" t="s">
        <v>297</v>
      </c>
      <c r="G9" s="64" t="s">
        <v>298</v>
      </c>
      <c r="H9" s="64" t="s">
        <v>299</v>
      </c>
      <c r="I9" s="64" t="s">
        <v>17</v>
      </c>
      <c r="J9" s="64" t="s">
        <v>8</v>
      </c>
    </row>
    <row r="10" spans="1:10" ht="244.8">
      <c r="A10" s="64" t="s">
        <v>379</v>
      </c>
      <c r="B10" s="64" t="s">
        <v>121</v>
      </c>
      <c r="C10" s="64" t="s">
        <v>377</v>
      </c>
      <c r="D10" s="64" t="s">
        <v>378</v>
      </c>
      <c r="E10" s="64" t="s">
        <v>30</v>
      </c>
      <c r="F10" s="64" t="s">
        <v>308</v>
      </c>
      <c r="G10" s="64" t="s">
        <v>309</v>
      </c>
      <c r="H10" s="64" t="s">
        <v>299</v>
      </c>
      <c r="I10" s="64" t="s">
        <v>17</v>
      </c>
      <c r="J10" s="64" t="s">
        <v>13</v>
      </c>
    </row>
    <row r="11" spans="1:10" ht="244.8">
      <c r="A11" s="64" t="s">
        <v>379</v>
      </c>
      <c r="B11" s="64" t="s">
        <v>121</v>
      </c>
      <c r="C11" s="64" t="s">
        <v>377</v>
      </c>
      <c r="D11" s="64" t="s">
        <v>378</v>
      </c>
      <c r="E11" s="64" t="s">
        <v>30</v>
      </c>
      <c r="F11" s="64" t="s">
        <v>308</v>
      </c>
      <c r="G11" s="64" t="s">
        <v>309</v>
      </c>
      <c r="H11" s="64" t="s">
        <v>300</v>
      </c>
      <c r="I11" s="64" t="s">
        <v>17</v>
      </c>
      <c r="J11" s="64" t="s">
        <v>13</v>
      </c>
    </row>
    <row r="12" spans="1:10" ht="273.60000000000002">
      <c r="A12" s="64" t="s">
        <v>379</v>
      </c>
      <c r="B12" s="64" t="s">
        <v>121</v>
      </c>
      <c r="C12" s="64" t="s">
        <v>377</v>
      </c>
      <c r="D12" s="64" t="s">
        <v>378</v>
      </c>
      <c r="E12" s="64" t="s">
        <v>23</v>
      </c>
      <c r="F12" s="64" t="s">
        <v>310</v>
      </c>
      <c r="G12" s="64" t="s">
        <v>311</v>
      </c>
      <c r="H12" s="64" t="s">
        <v>312</v>
      </c>
      <c r="I12" s="64" t="s">
        <v>17</v>
      </c>
      <c r="J12" s="64" t="s">
        <v>8</v>
      </c>
    </row>
    <row r="13" spans="1:10" ht="273.60000000000002">
      <c r="A13" s="64" t="s">
        <v>379</v>
      </c>
      <c r="B13" s="64" t="s">
        <v>121</v>
      </c>
      <c r="C13" s="64" t="s">
        <v>377</v>
      </c>
      <c r="D13" s="64" t="s">
        <v>378</v>
      </c>
      <c r="E13" s="64" t="s">
        <v>23</v>
      </c>
      <c r="F13" s="64" t="s">
        <v>310</v>
      </c>
      <c r="G13" s="64" t="s">
        <v>311</v>
      </c>
      <c r="H13" s="64" t="s">
        <v>313</v>
      </c>
      <c r="I13" s="64" t="s">
        <v>17</v>
      </c>
      <c r="J13" s="64" t="s">
        <v>8</v>
      </c>
    </row>
    <row r="14" spans="1:10" ht="273.60000000000002">
      <c r="A14" s="64" t="s">
        <v>379</v>
      </c>
      <c r="B14" s="64" t="s">
        <v>121</v>
      </c>
      <c r="C14" s="64" t="s">
        <v>377</v>
      </c>
      <c r="D14" s="64" t="s">
        <v>378</v>
      </c>
      <c r="E14" s="64" t="s">
        <v>23</v>
      </c>
      <c r="F14" s="64" t="s">
        <v>310</v>
      </c>
      <c r="G14" s="64" t="s">
        <v>311</v>
      </c>
      <c r="H14" s="64" t="s">
        <v>299</v>
      </c>
      <c r="I14" s="64" t="s">
        <v>17</v>
      </c>
      <c r="J14" s="64" t="s">
        <v>8</v>
      </c>
    </row>
    <row r="15" spans="1:10" ht="172.8">
      <c r="A15" s="64" t="s">
        <v>379</v>
      </c>
      <c r="B15" s="64" t="s">
        <v>121</v>
      </c>
      <c r="C15" s="64" t="s">
        <v>377</v>
      </c>
      <c r="D15" s="64" t="s">
        <v>378</v>
      </c>
      <c r="E15" s="64" t="s">
        <v>23</v>
      </c>
      <c r="F15" s="64" t="s">
        <v>314</v>
      </c>
      <c r="G15" s="64" t="s">
        <v>311</v>
      </c>
      <c r="H15" s="64" t="s">
        <v>312</v>
      </c>
      <c r="I15" s="64" t="s">
        <v>17</v>
      </c>
      <c r="J15" s="64" t="s">
        <v>8</v>
      </c>
    </row>
    <row r="16" spans="1:10" ht="172.8">
      <c r="A16" s="64" t="s">
        <v>379</v>
      </c>
      <c r="B16" s="64" t="s">
        <v>121</v>
      </c>
      <c r="C16" s="64" t="s">
        <v>377</v>
      </c>
      <c r="D16" s="64" t="s">
        <v>378</v>
      </c>
      <c r="E16" s="64" t="s">
        <v>23</v>
      </c>
      <c r="F16" s="64" t="s">
        <v>314</v>
      </c>
      <c r="G16" s="64" t="s">
        <v>311</v>
      </c>
      <c r="H16" s="64" t="s">
        <v>313</v>
      </c>
      <c r="I16" s="64" t="s">
        <v>17</v>
      </c>
      <c r="J16" s="64" t="s">
        <v>8</v>
      </c>
    </row>
    <row r="17" spans="1:10" ht="172.8">
      <c r="A17" s="64" t="s">
        <v>379</v>
      </c>
      <c r="B17" s="64" t="s">
        <v>121</v>
      </c>
      <c r="C17" s="64" t="s">
        <v>377</v>
      </c>
      <c r="D17" s="64" t="s">
        <v>378</v>
      </c>
      <c r="E17" s="64" t="s">
        <v>23</v>
      </c>
      <c r="F17" s="64" t="s">
        <v>314</v>
      </c>
      <c r="G17" s="64" t="s">
        <v>311</v>
      </c>
      <c r="H17" s="64" t="s">
        <v>299</v>
      </c>
      <c r="I17" s="64" t="s">
        <v>17</v>
      </c>
      <c r="J17" s="64" t="s">
        <v>8</v>
      </c>
    </row>
    <row r="18" spans="1:10" ht="187.2">
      <c r="A18" s="64" t="s">
        <v>380</v>
      </c>
      <c r="B18" s="64" t="s">
        <v>121</v>
      </c>
      <c r="C18" s="64" t="s">
        <v>377</v>
      </c>
      <c r="D18" s="64" t="s">
        <v>378</v>
      </c>
      <c r="E18" s="64" t="s">
        <v>30</v>
      </c>
      <c r="F18" s="64" t="s">
        <v>315</v>
      </c>
      <c r="G18" s="64" t="s">
        <v>307</v>
      </c>
      <c r="H18" s="64" t="s">
        <v>299</v>
      </c>
      <c r="I18" s="64" t="s">
        <v>17</v>
      </c>
      <c r="J18" s="64" t="s">
        <v>8</v>
      </c>
    </row>
    <row r="19" spans="1:10" ht="144">
      <c r="A19" s="64" t="s">
        <v>106</v>
      </c>
      <c r="B19" s="64" t="s">
        <v>121</v>
      </c>
      <c r="C19" s="64" t="s">
        <v>378</v>
      </c>
      <c r="D19" s="64" t="s">
        <v>378</v>
      </c>
      <c r="E19" s="64" t="s">
        <v>30</v>
      </c>
      <c r="F19" s="64" t="s">
        <v>381</v>
      </c>
      <c r="G19" s="64" t="s">
        <v>382</v>
      </c>
      <c r="H19" s="64" t="s">
        <v>299</v>
      </c>
      <c r="I19" s="64" t="s">
        <v>17</v>
      </c>
      <c r="J19" s="64" t="s">
        <v>13</v>
      </c>
    </row>
    <row r="20" spans="1:10" ht="144">
      <c r="A20" s="64" t="s">
        <v>106</v>
      </c>
      <c r="B20" s="64" t="s">
        <v>121</v>
      </c>
      <c r="C20" s="64" t="s">
        <v>378</v>
      </c>
      <c r="D20" s="64" t="s">
        <v>378</v>
      </c>
      <c r="E20" s="64" t="s">
        <v>30</v>
      </c>
      <c r="F20" s="64" t="s">
        <v>381</v>
      </c>
      <c r="G20" s="64" t="s">
        <v>382</v>
      </c>
      <c r="H20" s="64" t="s">
        <v>300</v>
      </c>
      <c r="I20" s="64" t="s">
        <v>17</v>
      </c>
      <c r="J20" s="64" t="s">
        <v>13</v>
      </c>
    </row>
    <row r="21" spans="1:10" ht="144">
      <c r="A21" s="64" t="s">
        <v>106</v>
      </c>
      <c r="B21" s="64" t="s">
        <v>121</v>
      </c>
      <c r="C21" s="64" t="s">
        <v>378</v>
      </c>
      <c r="D21" s="64" t="s">
        <v>378</v>
      </c>
      <c r="E21" s="64" t="s">
        <v>30</v>
      </c>
      <c r="F21" s="64" t="s">
        <v>381</v>
      </c>
      <c r="G21" s="64" t="s">
        <v>382</v>
      </c>
      <c r="H21" s="64" t="s">
        <v>305</v>
      </c>
      <c r="I21" s="64" t="s">
        <v>17</v>
      </c>
      <c r="J21" s="64" t="s">
        <v>13</v>
      </c>
    </row>
    <row r="22" spans="1:10" ht="144">
      <c r="A22" s="64" t="s">
        <v>106</v>
      </c>
      <c r="B22" s="64" t="s">
        <v>121</v>
      </c>
      <c r="C22" s="64" t="s">
        <v>378</v>
      </c>
      <c r="D22" s="64" t="s">
        <v>378</v>
      </c>
      <c r="E22" s="64" t="s">
        <v>30</v>
      </c>
      <c r="F22" s="64" t="s">
        <v>383</v>
      </c>
      <c r="G22" s="64" t="s">
        <v>382</v>
      </c>
      <c r="H22" s="64" t="s">
        <v>299</v>
      </c>
      <c r="I22" s="64" t="s">
        <v>17</v>
      </c>
      <c r="J22" s="64" t="s">
        <v>13</v>
      </c>
    </row>
    <row r="23" spans="1:10" ht="144">
      <c r="A23" s="64" t="s">
        <v>106</v>
      </c>
      <c r="B23" s="64" t="s">
        <v>121</v>
      </c>
      <c r="C23" s="64" t="s">
        <v>378</v>
      </c>
      <c r="D23" s="64" t="s">
        <v>378</v>
      </c>
      <c r="E23" s="64" t="s">
        <v>30</v>
      </c>
      <c r="F23" s="64" t="s">
        <v>383</v>
      </c>
      <c r="G23" s="64" t="s">
        <v>382</v>
      </c>
      <c r="H23" s="64" t="s">
        <v>300</v>
      </c>
      <c r="I23" s="64" t="s">
        <v>17</v>
      </c>
      <c r="J23" s="64" t="s">
        <v>13</v>
      </c>
    </row>
    <row r="24" spans="1:10" ht="144">
      <c r="A24" s="64" t="s">
        <v>106</v>
      </c>
      <c r="B24" s="64" t="s">
        <v>121</v>
      </c>
      <c r="C24" s="64" t="s">
        <v>378</v>
      </c>
      <c r="D24" s="64" t="s">
        <v>378</v>
      </c>
      <c r="E24" s="64" t="s">
        <v>30</v>
      </c>
      <c r="F24" s="64" t="s">
        <v>383</v>
      </c>
      <c r="G24" s="64" t="s">
        <v>382</v>
      </c>
      <c r="H24" s="64" t="s">
        <v>305</v>
      </c>
      <c r="I24" s="64" t="s">
        <v>17</v>
      </c>
      <c r="J24" s="64" t="s">
        <v>13</v>
      </c>
    </row>
    <row r="25" spans="1:10" ht="201.6">
      <c r="A25" s="64" t="s">
        <v>106</v>
      </c>
      <c r="B25" s="64" t="s">
        <v>121</v>
      </c>
      <c r="C25" s="64" t="s">
        <v>378</v>
      </c>
      <c r="D25" s="64" t="s">
        <v>378</v>
      </c>
      <c r="E25" s="64" t="s">
        <v>10</v>
      </c>
      <c r="F25" s="64" t="s">
        <v>384</v>
      </c>
      <c r="G25" s="64" t="s">
        <v>367</v>
      </c>
      <c r="H25" s="64" t="s">
        <v>300</v>
      </c>
      <c r="I25" s="64" t="s">
        <v>17</v>
      </c>
      <c r="J25" s="64" t="s">
        <v>8</v>
      </c>
    </row>
    <row r="26" spans="1:10" ht="201.6">
      <c r="A26" s="64" t="s">
        <v>106</v>
      </c>
      <c r="B26" s="64" t="s">
        <v>121</v>
      </c>
      <c r="C26" s="64" t="s">
        <v>378</v>
      </c>
      <c r="D26" s="64" t="s">
        <v>378</v>
      </c>
      <c r="E26" s="64" t="s">
        <v>10</v>
      </c>
      <c r="F26" s="64" t="s">
        <v>384</v>
      </c>
      <c r="G26" s="64" t="s">
        <v>367</v>
      </c>
      <c r="H26" s="64" t="s">
        <v>313</v>
      </c>
      <c r="I26" s="64" t="s">
        <v>17</v>
      </c>
      <c r="J26" s="64" t="s">
        <v>8</v>
      </c>
    </row>
    <row r="27" spans="1:10" ht="201.6">
      <c r="A27" s="64" t="s">
        <v>106</v>
      </c>
      <c r="B27" s="64" t="s">
        <v>121</v>
      </c>
      <c r="C27" s="64" t="s">
        <v>378</v>
      </c>
      <c r="D27" s="64" t="s">
        <v>378</v>
      </c>
      <c r="E27" s="64" t="s">
        <v>10</v>
      </c>
      <c r="F27" s="64" t="s">
        <v>384</v>
      </c>
      <c r="G27" s="64" t="s">
        <v>367</v>
      </c>
      <c r="H27" s="64" t="s">
        <v>385</v>
      </c>
      <c r="I27" s="64" t="s">
        <v>17</v>
      </c>
      <c r="J27" s="64" t="s">
        <v>8</v>
      </c>
    </row>
    <row r="28" spans="1:10" ht="409.6">
      <c r="A28" s="64" t="s">
        <v>106</v>
      </c>
      <c r="B28" s="64" t="s">
        <v>121</v>
      </c>
      <c r="C28" s="64" t="s">
        <v>378</v>
      </c>
      <c r="D28" s="64" t="s">
        <v>378</v>
      </c>
      <c r="E28" s="64" t="s">
        <v>10</v>
      </c>
      <c r="F28" s="64" t="s">
        <v>386</v>
      </c>
      <c r="G28" s="64" t="s">
        <v>367</v>
      </c>
      <c r="H28" s="64" t="s">
        <v>300</v>
      </c>
      <c r="I28" s="64" t="s">
        <v>17</v>
      </c>
      <c r="J28" s="64" t="s">
        <v>8</v>
      </c>
    </row>
    <row r="29" spans="1:10" ht="409.6">
      <c r="A29" s="64" t="s">
        <v>106</v>
      </c>
      <c r="B29" s="64" t="s">
        <v>121</v>
      </c>
      <c r="C29" s="64" t="s">
        <v>378</v>
      </c>
      <c r="D29" s="64" t="s">
        <v>378</v>
      </c>
      <c r="E29" s="64" t="s">
        <v>10</v>
      </c>
      <c r="F29" s="64" t="s">
        <v>386</v>
      </c>
      <c r="G29" s="64" t="s">
        <v>367</v>
      </c>
      <c r="H29" s="64" t="s">
        <v>313</v>
      </c>
      <c r="I29" s="64" t="s">
        <v>17</v>
      </c>
      <c r="J29" s="64" t="s">
        <v>8</v>
      </c>
    </row>
    <row r="30" spans="1:10" ht="409.6">
      <c r="A30" s="64" t="s">
        <v>106</v>
      </c>
      <c r="B30" s="64" t="s">
        <v>121</v>
      </c>
      <c r="C30" s="64" t="s">
        <v>378</v>
      </c>
      <c r="D30" s="64" t="s">
        <v>378</v>
      </c>
      <c r="E30" s="64" t="s">
        <v>10</v>
      </c>
      <c r="F30" s="64" t="s">
        <v>386</v>
      </c>
      <c r="G30" s="64" t="s">
        <v>367</v>
      </c>
      <c r="H30" s="64" t="s">
        <v>385</v>
      </c>
      <c r="I30" s="64" t="s">
        <v>17</v>
      </c>
      <c r="J30" s="64" t="s">
        <v>8</v>
      </c>
    </row>
    <row r="31" spans="1:10" ht="115.2">
      <c r="A31" s="64" t="s">
        <v>106</v>
      </c>
      <c r="B31" s="64" t="s">
        <v>121</v>
      </c>
      <c r="C31" s="64" t="s">
        <v>378</v>
      </c>
      <c r="D31" s="64" t="s">
        <v>378</v>
      </c>
      <c r="E31" s="64" t="s">
        <v>19</v>
      </c>
      <c r="F31" s="64" t="s">
        <v>387</v>
      </c>
      <c r="G31" s="64" t="s">
        <v>388</v>
      </c>
      <c r="H31" s="64" t="s">
        <v>389</v>
      </c>
      <c r="I31" s="64" t="s">
        <v>12</v>
      </c>
      <c r="J31" s="64" t="s">
        <v>13</v>
      </c>
    </row>
    <row r="32" spans="1:10" ht="115.2">
      <c r="A32" s="64" t="s">
        <v>106</v>
      </c>
      <c r="B32" s="64" t="s">
        <v>121</v>
      </c>
      <c r="C32" s="64" t="s">
        <v>378</v>
      </c>
      <c r="D32" s="64" t="s">
        <v>378</v>
      </c>
      <c r="E32" s="64" t="s">
        <v>19</v>
      </c>
      <c r="F32" s="64" t="s">
        <v>387</v>
      </c>
      <c r="G32" s="64" t="s">
        <v>388</v>
      </c>
      <c r="H32" s="64" t="s">
        <v>300</v>
      </c>
      <c r="I32" s="64" t="s">
        <v>12</v>
      </c>
      <c r="J32" s="64" t="s">
        <v>13</v>
      </c>
    </row>
    <row r="33" spans="1:10" ht="115.2">
      <c r="A33" s="64" t="s">
        <v>106</v>
      </c>
      <c r="B33" s="64" t="s">
        <v>121</v>
      </c>
      <c r="C33" s="64" t="s">
        <v>378</v>
      </c>
      <c r="D33" s="64" t="s">
        <v>378</v>
      </c>
      <c r="E33" s="64" t="s">
        <v>19</v>
      </c>
      <c r="F33" s="64" t="s">
        <v>387</v>
      </c>
      <c r="G33" s="64" t="s">
        <v>388</v>
      </c>
      <c r="H33" s="64" t="s">
        <v>390</v>
      </c>
      <c r="I33" s="64" t="s">
        <v>12</v>
      </c>
      <c r="J33" s="64" t="s">
        <v>13</v>
      </c>
    </row>
    <row r="34" spans="1:10" ht="158.4">
      <c r="A34" s="64" t="s">
        <v>106</v>
      </c>
      <c r="B34" s="64" t="s">
        <v>121</v>
      </c>
      <c r="C34" s="64" t="s">
        <v>378</v>
      </c>
      <c r="D34" s="64" t="s">
        <v>378</v>
      </c>
      <c r="E34" s="64" t="s">
        <v>23</v>
      </c>
      <c r="F34" s="64" t="s">
        <v>391</v>
      </c>
      <c r="G34" s="64" t="s">
        <v>392</v>
      </c>
      <c r="H34" s="64" t="s">
        <v>312</v>
      </c>
      <c r="I34" s="64" t="s">
        <v>17</v>
      </c>
      <c r="J34" s="64" t="s">
        <v>13</v>
      </c>
    </row>
    <row r="35" spans="1:10" ht="158.4">
      <c r="A35" s="64" t="s">
        <v>106</v>
      </c>
      <c r="B35" s="64" t="s">
        <v>121</v>
      </c>
      <c r="C35" s="64" t="s">
        <v>378</v>
      </c>
      <c r="D35" s="64" t="s">
        <v>378</v>
      </c>
      <c r="E35" s="64" t="s">
        <v>23</v>
      </c>
      <c r="F35" s="64" t="s">
        <v>391</v>
      </c>
      <c r="G35" s="64" t="s">
        <v>392</v>
      </c>
      <c r="H35" s="64" t="s">
        <v>299</v>
      </c>
      <c r="I35" s="64" t="s">
        <v>17</v>
      </c>
      <c r="J35" s="64" t="s">
        <v>13</v>
      </c>
    </row>
    <row r="36" spans="1:10" ht="158.4">
      <c r="A36" s="64" t="s">
        <v>106</v>
      </c>
      <c r="B36" s="64" t="s">
        <v>121</v>
      </c>
      <c r="C36" s="64" t="s">
        <v>378</v>
      </c>
      <c r="D36" s="64" t="s">
        <v>378</v>
      </c>
      <c r="E36" s="64" t="s">
        <v>23</v>
      </c>
      <c r="F36" s="64" t="s">
        <v>391</v>
      </c>
      <c r="G36" s="64" t="s">
        <v>392</v>
      </c>
      <c r="H36" s="64" t="s">
        <v>390</v>
      </c>
      <c r="I36" s="64" t="s">
        <v>17</v>
      </c>
      <c r="J36" s="64" t="s">
        <v>13</v>
      </c>
    </row>
    <row r="37" spans="1:10" ht="216">
      <c r="A37" s="64" t="s">
        <v>106</v>
      </c>
      <c r="B37" s="64" t="s">
        <v>121</v>
      </c>
      <c r="C37" s="64" t="s">
        <v>378</v>
      </c>
      <c r="D37" s="64" t="s">
        <v>378</v>
      </c>
      <c r="E37" s="64" t="s">
        <v>28</v>
      </c>
      <c r="F37" s="64" t="s">
        <v>393</v>
      </c>
      <c r="G37" s="64" t="s">
        <v>304</v>
      </c>
      <c r="H37" s="64" t="s">
        <v>305</v>
      </c>
      <c r="I37" s="64" t="s">
        <v>21</v>
      </c>
      <c r="J37" s="64" t="s">
        <v>8</v>
      </c>
    </row>
    <row r="38" spans="1:10" ht="216">
      <c r="A38" s="64" t="s">
        <v>106</v>
      </c>
      <c r="B38" s="64" t="s">
        <v>121</v>
      </c>
      <c r="C38" s="64" t="s">
        <v>378</v>
      </c>
      <c r="D38" s="64" t="s">
        <v>378</v>
      </c>
      <c r="E38" s="64" t="s">
        <v>28</v>
      </c>
      <c r="F38" s="64" t="s">
        <v>393</v>
      </c>
      <c r="G38" s="64" t="s">
        <v>304</v>
      </c>
      <c r="H38" s="64" t="s">
        <v>299</v>
      </c>
      <c r="I38" s="64" t="s">
        <v>21</v>
      </c>
      <c r="J38" s="64" t="s">
        <v>8</v>
      </c>
    </row>
    <row r="39" spans="1:10" ht="244.8">
      <c r="A39" s="64" t="s">
        <v>106</v>
      </c>
      <c r="B39" s="64" t="s">
        <v>121</v>
      </c>
      <c r="C39" s="64" t="s">
        <v>378</v>
      </c>
      <c r="D39" s="64" t="s">
        <v>378</v>
      </c>
      <c r="E39" s="64" t="s">
        <v>28</v>
      </c>
      <c r="F39" s="64" t="s">
        <v>177</v>
      </c>
      <c r="G39" s="64" t="s">
        <v>304</v>
      </c>
      <c r="H39" s="64" t="s">
        <v>305</v>
      </c>
      <c r="I39" s="64" t="s">
        <v>21</v>
      </c>
      <c r="J39" s="64" t="s">
        <v>8</v>
      </c>
    </row>
    <row r="40" spans="1:10" ht="244.8">
      <c r="A40" s="64" t="s">
        <v>106</v>
      </c>
      <c r="B40" s="64" t="s">
        <v>121</v>
      </c>
      <c r="C40" s="64" t="s">
        <v>378</v>
      </c>
      <c r="D40" s="64" t="s">
        <v>378</v>
      </c>
      <c r="E40" s="64" t="s">
        <v>28</v>
      </c>
      <c r="F40" s="64" t="s">
        <v>177</v>
      </c>
      <c r="G40" s="64" t="s">
        <v>304</v>
      </c>
      <c r="H40" s="64" t="s">
        <v>299</v>
      </c>
      <c r="I40" s="64" t="s">
        <v>21</v>
      </c>
      <c r="J40" s="64" t="s">
        <v>8</v>
      </c>
    </row>
    <row r="41" spans="1:10" ht="273.60000000000002">
      <c r="A41" s="64" t="s">
        <v>106</v>
      </c>
      <c r="B41" s="64" t="s">
        <v>121</v>
      </c>
      <c r="C41" s="64" t="s">
        <v>378</v>
      </c>
      <c r="D41" s="64" t="s">
        <v>378</v>
      </c>
      <c r="E41" s="64" t="s">
        <v>23</v>
      </c>
      <c r="F41" s="64" t="s">
        <v>310</v>
      </c>
      <c r="G41" s="64" t="s">
        <v>311</v>
      </c>
      <c r="H41" s="64" t="s">
        <v>312</v>
      </c>
      <c r="I41" s="64" t="s">
        <v>17</v>
      </c>
      <c r="J41" s="64" t="s">
        <v>8</v>
      </c>
    </row>
    <row r="42" spans="1:10" ht="273.60000000000002">
      <c r="A42" s="64" t="s">
        <v>106</v>
      </c>
      <c r="B42" s="64" t="s">
        <v>121</v>
      </c>
      <c r="C42" s="64" t="s">
        <v>378</v>
      </c>
      <c r="D42" s="64" t="s">
        <v>378</v>
      </c>
      <c r="E42" s="64" t="s">
        <v>23</v>
      </c>
      <c r="F42" s="64" t="s">
        <v>310</v>
      </c>
      <c r="G42" s="64" t="s">
        <v>311</v>
      </c>
      <c r="H42" s="64" t="s">
        <v>313</v>
      </c>
      <c r="I42" s="64" t="s">
        <v>17</v>
      </c>
      <c r="J42" s="64" t="s">
        <v>8</v>
      </c>
    </row>
    <row r="43" spans="1:10" ht="273.60000000000002">
      <c r="A43" s="64" t="s">
        <v>106</v>
      </c>
      <c r="B43" s="64" t="s">
        <v>121</v>
      </c>
      <c r="C43" s="64" t="s">
        <v>378</v>
      </c>
      <c r="D43" s="64" t="s">
        <v>378</v>
      </c>
      <c r="E43" s="64" t="s">
        <v>23</v>
      </c>
      <c r="F43" s="64" t="s">
        <v>310</v>
      </c>
      <c r="G43" s="64" t="s">
        <v>311</v>
      </c>
      <c r="H43" s="64" t="s">
        <v>299</v>
      </c>
      <c r="I43" s="64" t="s">
        <v>17</v>
      </c>
      <c r="J43" s="64" t="s">
        <v>8</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14AD4-61E8-4A56-A37F-92AF49983BD8}">
  <sheetPr>
    <tabColor theme="9"/>
  </sheetPr>
  <dimension ref="A1:K593"/>
  <sheetViews>
    <sheetView tabSelected="1" topLeftCell="C1" zoomScale="70" zoomScaleNormal="70" workbookViewId="0">
      <selection activeCell="C1" sqref="A1:XFD1048576"/>
    </sheetView>
  </sheetViews>
  <sheetFormatPr defaultRowHeight="14.4"/>
  <cols>
    <col min="1" max="1" width="14.88671875" style="95" customWidth="1"/>
    <col min="2" max="2" width="34.5546875" bestFit="1" customWidth="1"/>
    <col min="3" max="3" width="16.6640625" bestFit="1" customWidth="1"/>
    <col min="4" max="4" width="13.109375" bestFit="1" customWidth="1"/>
    <col min="5" max="5" width="45" customWidth="1"/>
    <col min="6" max="6" width="41.77734375" style="85" customWidth="1"/>
    <col min="7" max="7" width="34.6640625" customWidth="1"/>
    <col min="8" max="9" width="38" customWidth="1"/>
    <col min="10" max="10" width="14.6640625" customWidth="1"/>
    <col min="11" max="11" width="12" customWidth="1"/>
  </cols>
  <sheetData>
    <row r="1" spans="1:11">
      <c r="A1" s="93" t="s">
        <v>73</v>
      </c>
      <c r="B1" s="89" t="s">
        <v>1005</v>
      </c>
      <c r="C1" s="89" t="s">
        <v>1153</v>
      </c>
      <c r="D1" s="89" t="s">
        <v>1154</v>
      </c>
      <c r="E1" s="89" t="s">
        <v>1006</v>
      </c>
      <c r="F1" s="89" t="s">
        <v>1007</v>
      </c>
      <c r="G1" s="89" t="s">
        <v>1155</v>
      </c>
      <c r="H1" s="89" t="s">
        <v>1008</v>
      </c>
      <c r="I1" s="89" t="s">
        <v>1009</v>
      </c>
      <c r="J1" s="89" t="s">
        <v>1010</v>
      </c>
      <c r="K1" s="89" t="s">
        <v>1011</v>
      </c>
    </row>
    <row r="2" spans="1:11" ht="28.8">
      <c r="A2" s="94">
        <f>_xlfn.XLOOKUP(B2,' Lista de Entrevistas'!B:B,' Lista de Entrevistas'!A:A,"")</f>
        <v>1</v>
      </c>
      <c r="B2" s="99" t="s">
        <v>81</v>
      </c>
      <c r="C2" s="99" t="s">
        <v>1032</v>
      </c>
      <c r="D2" s="99" t="s">
        <v>121</v>
      </c>
      <c r="E2" s="99" t="s">
        <v>1100</v>
      </c>
      <c r="F2" s="99" t="s">
        <v>1044</v>
      </c>
      <c r="G2" s="99" t="s">
        <v>872</v>
      </c>
      <c r="H2" s="97" t="s">
        <v>890</v>
      </c>
      <c r="I2" s="99" t="s">
        <v>992</v>
      </c>
      <c r="J2" s="99" t="s">
        <v>17</v>
      </c>
      <c r="K2" s="100" t="s">
        <v>8</v>
      </c>
    </row>
    <row r="3" spans="1:11" ht="28.8">
      <c r="A3" s="92">
        <f>_xlfn.XLOOKUP(B3,' Lista de Entrevistas'!B:B,' Lista de Entrevistas'!A:A,"")</f>
        <v>1</v>
      </c>
      <c r="B3" s="97" t="s">
        <v>81</v>
      </c>
      <c r="C3" s="97" t="s">
        <v>1032</v>
      </c>
      <c r="D3" s="97" t="s">
        <v>121</v>
      </c>
      <c r="E3" s="97" t="s">
        <v>1100</v>
      </c>
      <c r="F3" s="97" t="s">
        <v>1044</v>
      </c>
      <c r="G3" s="97" t="s">
        <v>872</v>
      </c>
      <c r="H3" s="97" t="s">
        <v>890</v>
      </c>
      <c r="I3" s="97" t="s">
        <v>984</v>
      </c>
      <c r="J3" s="97" t="s">
        <v>17</v>
      </c>
      <c r="K3" s="98" t="s">
        <v>8</v>
      </c>
    </row>
    <row r="4" spans="1:11" ht="28.8">
      <c r="A4" s="94">
        <f>_xlfn.XLOOKUP(B4,' Lista de Entrevistas'!B:B,' Lista de Entrevistas'!A:A,"")</f>
        <v>1</v>
      </c>
      <c r="B4" s="99" t="s">
        <v>81</v>
      </c>
      <c r="C4" s="99" t="s">
        <v>1032</v>
      </c>
      <c r="D4" s="99" t="s">
        <v>121</v>
      </c>
      <c r="E4" s="99" t="s">
        <v>1101</v>
      </c>
      <c r="F4" s="99" t="s">
        <v>1050</v>
      </c>
      <c r="G4" s="99" t="s">
        <v>824</v>
      </c>
      <c r="H4" s="99" t="s">
        <v>853</v>
      </c>
      <c r="I4" s="99" t="s">
        <v>992</v>
      </c>
      <c r="J4" s="99" t="s">
        <v>17</v>
      </c>
      <c r="K4" s="100" t="s">
        <v>8</v>
      </c>
    </row>
    <row r="5" spans="1:11" ht="28.8">
      <c r="A5" s="92">
        <f>_xlfn.XLOOKUP(B5,' Lista de Entrevistas'!B:B,' Lista de Entrevistas'!A:A,"")</f>
        <v>1</v>
      </c>
      <c r="B5" s="97" t="s">
        <v>81</v>
      </c>
      <c r="C5" s="97" t="s">
        <v>1032</v>
      </c>
      <c r="D5" s="97" t="s">
        <v>121</v>
      </c>
      <c r="E5" s="97" t="s">
        <v>1101</v>
      </c>
      <c r="F5" s="97" t="s">
        <v>1050</v>
      </c>
      <c r="G5" s="97" t="s">
        <v>824</v>
      </c>
      <c r="H5" s="97" t="s">
        <v>853</v>
      </c>
      <c r="I5" s="97" t="s">
        <v>994</v>
      </c>
      <c r="J5" s="97" t="s">
        <v>17</v>
      </c>
      <c r="K5" s="98" t="s">
        <v>8</v>
      </c>
    </row>
    <row r="6" spans="1:11" ht="28.8">
      <c r="A6" s="94">
        <f>_xlfn.XLOOKUP(B6,' Lista de Entrevistas'!B:B,' Lista de Entrevistas'!A:A,"")</f>
        <v>1</v>
      </c>
      <c r="B6" s="99" t="s">
        <v>81</v>
      </c>
      <c r="C6" s="99" t="s">
        <v>1032</v>
      </c>
      <c r="D6" s="99" t="s">
        <v>121</v>
      </c>
      <c r="E6" s="99" t="s">
        <v>1102</v>
      </c>
      <c r="F6" s="99" t="s">
        <v>1080</v>
      </c>
      <c r="G6" s="99" t="s">
        <v>878</v>
      </c>
      <c r="H6" s="99" t="s">
        <v>850</v>
      </c>
      <c r="I6" s="99" t="s">
        <v>992</v>
      </c>
      <c r="J6" s="99" t="s">
        <v>17</v>
      </c>
      <c r="K6" s="100" t="s">
        <v>8</v>
      </c>
    </row>
    <row r="7" spans="1:11" ht="28.8">
      <c r="A7" s="92">
        <f>_xlfn.XLOOKUP(B7,' Lista de Entrevistas'!B:B,' Lista de Entrevistas'!A:A,"")</f>
        <v>1</v>
      </c>
      <c r="B7" s="97" t="s">
        <v>81</v>
      </c>
      <c r="C7" s="97" t="s">
        <v>1032</v>
      </c>
      <c r="D7" s="97" t="s">
        <v>121</v>
      </c>
      <c r="E7" s="97" t="s">
        <v>1102</v>
      </c>
      <c r="F7" s="97" t="s">
        <v>1080</v>
      </c>
      <c r="G7" s="97" t="s">
        <v>878</v>
      </c>
      <c r="H7" s="97" t="s">
        <v>850</v>
      </c>
      <c r="I7" s="97" t="s">
        <v>980</v>
      </c>
      <c r="J7" s="97" t="s">
        <v>17</v>
      </c>
      <c r="K7" s="98" t="s">
        <v>8</v>
      </c>
    </row>
    <row r="8" spans="1:11" ht="28.8">
      <c r="A8" s="94">
        <f>_xlfn.XLOOKUP(B8,' Lista de Entrevistas'!B:B,' Lista de Entrevistas'!A:A,"")</f>
        <v>2</v>
      </c>
      <c r="B8" s="99" t="s">
        <v>84</v>
      </c>
      <c r="C8" s="99" t="s">
        <v>1032</v>
      </c>
      <c r="D8" s="99" t="s">
        <v>121</v>
      </c>
      <c r="E8" s="99" t="s">
        <v>1103</v>
      </c>
      <c r="F8" s="99" t="s">
        <v>1104</v>
      </c>
      <c r="G8" s="99" t="s">
        <v>824</v>
      </c>
      <c r="H8" s="99" t="s">
        <v>853</v>
      </c>
      <c r="I8" s="99" t="s">
        <v>992</v>
      </c>
      <c r="J8" s="99" t="s">
        <v>17</v>
      </c>
      <c r="K8" s="100" t="s">
        <v>8</v>
      </c>
    </row>
    <row r="9" spans="1:11" ht="28.8">
      <c r="A9" s="92">
        <f>_xlfn.XLOOKUP(B9,' Lista de Entrevistas'!B:B,' Lista de Entrevistas'!A:A,"")</f>
        <v>2</v>
      </c>
      <c r="B9" s="97" t="s">
        <v>84</v>
      </c>
      <c r="C9" s="97" t="s">
        <v>1032</v>
      </c>
      <c r="D9" s="97" t="s">
        <v>121</v>
      </c>
      <c r="E9" s="97" t="s">
        <v>1103</v>
      </c>
      <c r="F9" s="97" t="s">
        <v>1104</v>
      </c>
      <c r="G9" s="97" t="s">
        <v>824</v>
      </c>
      <c r="H9" s="97" t="s">
        <v>853</v>
      </c>
      <c r="I9" s="97" t="s">
        <v>978</v>
      </c>
      <c r="J9" s="97" t="s">
        <v>17</v>
      </c>
      <c r="K9" s="98" t="s">
        <v>8</v>
      </c>
    </row>
    <row r="10" spans="1:11" ht="28.8">
      <c r="A10" s="94">
        <f>_xlfn.XLOOKUP(B10,' Lista de Entrevistas'!B:B,' Lista de Entrevistas'!A:A,"")</f>
        <v>2</v>
      </c>
      <c r="B10" s="99" t="s">
        <v>84</v>
      </c>
      <c r="C10" s="99" t="s">
        <v>1032</v>
      </c>
      <c r="D10" s="99" t="s">
        <v>121</v>
      </c>
      <c r="E10" s="99" t="s">
        <v>1105</v>
      </c>
      <c r="F10" s="99" t="s">
        <v>1106</v>
      </c>
      <c r="G10" s="99" t="s">
        <v>892</v>
      </c>
      <c r="H10" s="99" t="s">
        <v>853</v>
      </c>
      <c r="I10" s="99" t="s">
        <v>992</v>
      </c>
      <c r="J10" s="99" t="s">
        <v>12</v>
      </c>
      <c r="K10" s="100" t="s">
        <v>8</v>
      </c>
    </row>
    <row r="11" spans="1:11" ht="28.8">
      <c r="A11" s="92">
        <f>_xlfn.XLOOKUP(B11,' Lista de Entrevistas'!B:B,' Lista de Entrevistas'!A:A,"")</f>
        <v>2</v>
      </c>
      <c r="B11" s="97" t="s">
        <v>84</v>
      </c>
      <c r="C11" s="97" t="s">
        <v>1032</v>
      </c>
      <c r="D11" s="97" t="s">
        <v>121</v>
      </c>
      <c r="E11" s="97" t="s">
        <v>1105</v>
      </c>
      <c r="F11" s="97" t="s">
        <v>1106</v>
      </c>
      <c r="G11" s="97" t="s">
        <v>892</v>
      </c>
      <c r="H11" s="97" t="s">
        <v>853</v>
      </c>
      <c r="I11" s="97" t="s">
        <v>988</v>
      </c>
      <c r="J11" s="97" t="s">
        <v>12</v>
      </c>
      <c r="K11" s="98" t="s">
        <v>8</v>
      </c>
    </row>
    <row r="12" spans="1:11" ht="28.8">
      <c r="A12" s="94">
        <f>_xlfn.XLOOKUP(B12,' Lista de Entrevistas'!B:B,' Lista de Entrevistas'!A:A,"")</f>
        <v>2</v>
      </c>
      <c r="B12" s="99" t="s">
        <v>84</v>
      </c>
      <c r="C12" s="99" t="s">
        <v>1032</v>
      </c>
      <c r="D12" s="99" t="s">
        <v>121</v>
      </c>
      <c r="E12" s="99" t="s">
        <v>1107</v>
      </c>
      <c r="F12" s="99" t="s">
        <v>1108</v>
      </c>
      <c r="G12" s="99" t="s">
        <v>893</v>
      </c>
      <c r="H12" s="99" t="s">
        <v>853</v>
      </c>
      <c r="I12" s="99" t="s">
        <v>988</v>
      </c>
      <c r="J12" s="99" t="s">
        <v>12</v>
      </c>
      <c r="K12" s="100" t="s">
        <v>13</v>
      </c>
    </row>
    <row r="13" spans="1:11" ht="28.8">
      <c r="A13" s="92">
        <f>_xlfn.XLOOKUP(B13,' Lista de Entrevistas'!B:B,' Lista de Entrevistas'!A:A,"")</f>
        <v>2</v>
      </c>
      <c r="B13" s="97" t="s">
        <v>84</v>
      </c>
      <c r="C13" s="97" t="s">
        <v>1032</v>
      </c>
      <c r="D13" s="97" t="s">
        <v>121</v>
      </c>
      <c r="E13" s="97" t="s">
        <v>1107</v>
      </c>
      <c r="F13" s="97" t="s">
        <v>1108</v>
      </c>
      <c r="G13" s="97" t="s">
        <v>893</v>
      </c>
      <c r="H13" s="97" t="s">
        <v>853</v>
      </c>
      <c r="I13" s="97" t="s">
        <v>992</v>
      </c>
      <c r="J13" s="97" t="s">
        <v>12</v>
      </c>
      <c r="K13" s="98" t="s">
        <v>13</v>
      </c>
    </row>
    <row r="14" spans="1:11" ht="28.8">
      <c r="A14" s="94">
        <f>_xlfn.XLOOKUP(B14,' Lista de Entrevistas'!B:B,' Lista de Entrevistas'!A:A,"")</f>
        <v>2</v>
      </c>
      <c r="B14" s="99" t="s">
        <v>84</v>
      </c>
      <c r="C14" s="99" t="s">
        <v>1032</v>
      </c>
      <c r="D14" s="99" t="s">
        <v>121</v>
      </c>
      <c r="E14" s="99" t="s">
        <v>1109</v>
      </c>
      <c r="F14" s="99" t="s">
        <v>1110</v>
      </c>
      <c r="G14" s="99" t="s">
        <v>874</v>
      </c>
      <c r="H14" s="97" t="s">
        <v>890</v>
      </c>
      <c r="I14" s="99" t="s">
        <v>978</v>
      </c>
      <c r="J14" s="99" t="s">
        <v>12</v>
      </c>
      <c r="K14" s="100" t="s">
        <v>13</v>
      </c>
    </row>
    <row r="15" spans="1:11" ht="28.8">
      <c r="A15" s="92">
        <f>_xlfn.XLOOKUP(B15,' Lista de Entrevistas'!B:B,' Lista de Entrevistas'!A:A,"")</f>
        <v>2</v>
      </c>
      <c r="B15" s="97" t="s">
        <v>84</v>
      </c>
      <c r="C15" s="97" t="s">
        <v>1032</v>
      </c>
      <c r="D15" s="97" t="s">
        <v>121</v>
      </c>
      <c r="E15" s="97" t="s">
        <v>1109</v>
      </c>
      <c r="F15" s="97" t="s">
        <v>1110</v>
      </c>
      <c r="G15" s="97" t="s">
        <v>874</v>
      </c>
      <c r="H15" s="97" t="s">
        <v>890</v>
      </c>
      <c r="I15" s="97" t="s">
        <v>984</v>
      </c>
      <c r="J15" s="97" t="s">
        <v>12</v>
      </c>
      <c r="K15" s="98" t="s">
        <v>13</v>
      </c>
    </row>
    <row r="16" spans="1:11" ht="28.8">
      <c r="A16" s="94">
        <f>_xlfn.XLOOKUP(B16,' Lista de Entrevistas'!B:B,' Lista de Entrevistas'!A:A,"")</f>
        <v>3</v>
      </c>
      <c r="B16" s="99" t="s">
        <v>86</v>
      </c>
      <c r="C16" s="99" t="s">
        <v>1072</v>
      </c>
      <c r="D16" s="99" t="s">
        <v>121</v>
      </c>
      <c r="E16" s="99" t="s">
        <v>1134</v>
      </c>
      <c r="F16" s="99" t="s">
        <v>1135</v>
      </c>
      <c r="G16" s="99" t="s">
        <v>872</v>
      </c>
      <c r="H16" s="97" t="s">
        <v>890</v>
      </c>
      <c r="I16" s="99" t="s">
        <v>984</v>
      </c>
      <c r="J16" s="99" t="s">
        <v>17</v>
      </c>
      <c r="K16" s="100" t="s">
        <v>13</v>
      </c>
    </row>
    <row r="17" spans="1:11" ht="28.8">
      <c r="A17" s="94">
        <f>_xlfn.XLOOKUP(B17,' Lista de Entrevistas'!B:B,' Lista de Entrevistas'!A:A,"")</f>
        <v>3</v>
      </c>
      <c r="B17" s="97" t="s">
        <v>86</v>
      </c>
      <c r="C17" s="97" t="s">
        <v>1072</v>
      </c>
      <c r="D17" s="97" t="s">
        <v>121</v>
      </c>
      <c r="E17" s="97" t="s">
        <v>1134</v>
      </c>
      <c r="F17" s="97" t="s">
        <v>1135</v>
      </c>
      <c r="G17" s="97" t="s">
        <v>872</v>
      </c>
      <c r="H17" s="97" t="s">
        <v>890</v>
      </c>
      <c r="I17" s="97" t="s">
        <v>986</v>
      </c>
      <c r="J17" s="97" t="s">
        <v>17</v>
      </c>
      <c r="K17" s="98" t="s">
        <v>13</v>
      </c>
    </row>
    <row r="18" spans="1:11" ht="28.8">
      <c r="A18" s="94">
        <f>_xlfn.XLOOKUP(B18,' Lista de Entrevistas'!B:B,' Lista de Entrevistas'!A:A,"")</f>
        <v>3</v>
      </c>
      <c r="B18" s="99" t="s">
        <v>86</v>
      </c>
      <c r="C18" s="99" t="s">
        <v>1072</v>
      </c>
      <c r="D18" s="99" t="s">
        <v>121</v>
      </c>
      <c r="E18" s="99" t="s">
        <v>1136</v>
      </c>
      <c r="F18" s="99" t="s">
        <v>1137</v>
      </c>
      <c r="G18" s="99" t="s">
        <v>879</v>
      </c>
      <c r="H18" s="99" t="s">
        <v>850</v>
      </c>
      <c r="I18" s="99" t="s">
        <v>982</v>
      </c>
      <c r="J18" s="99" t="s">
        <v>17</v>
      </c>
      <c r="K18" s="100" t="s">
        <v>13</v>
      </c>
    </row>
    <row r="19" spans="1:11" ht="28.8">
      <c r="A19" s="94">
        <f>_xlfn.XLOOKUP(B19,' Lista de Entrevistas'!B:B,' Lista de Entrevistas'!A:A,"")</f>
        <v>3</v>
      </c>
      <c r="B19" s="97" t="s">
        <v>86</v>
      </c>
      <c r="C19" s="97" t="s">
        <v>1072</v>
      </c>
      <c r="D19" s="97" t="s">
        <v>121</v>
      </c>
      <c r="E19" s="97" t="s">
        <v>1136</v>
      </c>
      <c r="F19" s="97" t="s">
        <v>1137</v>
      </c>
      <c r="G19" s="97" t="s">
        <v>879</v>
      </c>
      <c r="H19" s="97" t="s">
        <v>850</v>
      </c>
      <c r="I19" s="97" t="s">
        <v>986</v>
      </c>
      <c r="J19" s="97" t="s">
        <v>17</v>
      </c>
      <c r="K19" s="98" t="s">
        <v>13</v>
      </c>
    </row>
    <row r="20" spans="1:11" ht="28.8">
      <c r="A20" s="94">
        <f>_xlfn.XLOOKUP(B20,' Lista de Entrevistas'!B:B,' Lista de Entrevistas'!A:A,"")</f>
        <v>3</v>
      </c>
      <c r="B20" s="99" t="s">
        <v>86</v>
      </c>
      <c r="C20" s="99" t="s">
        <v>1072</v>
      </c>
      <c r="D20" s="99" t="s">
        <v>121</v>
      </c>
      <c r="E20" s="99" t="s">
        <v>1138</v>
      </c>
      <c r="F20" s="99" t="s">
        <v>1038</v>
      </c>
      <c r="G20" s="99" t="s">
        <v>891</v>
      </c>
      <c r="H20" s="97" t="s">
        <v>890</v>
      </c>
      <c r="I20" s="99" t="s">
        <v>984</v>
      </c>
      <c r="J20" s="99" t="s">
        <v>21</v>
      </c>
      <c r="K20" s="100" t="s">
        <v>8</v>
      </c>
    </row>
    <row r="21" spans="1:11" ht="28.8">
      <c r="A21" s="94">
        <f>_xlfn.XLOOKUP(B21,' Lista de Entrevistas'!B:B,' Lista de Entrevistas'!A:A,"")</f>
        <v>3</v>
      </c>
      <c r="B21" s="97" t="s">
        <v>86</v>
      </c>
      <c r="C21" s="97" t="s">
        <v>1072</v>
      </c>
      <c r="D21" s="97" t="s">
        <v>121</v>
      </c>
      <c r="E21" s="97" t="s">
        <v>1138</v>
      </c>
      <c r="F21" s="97" t="s">
        <v>1038</v>
      </c>
      <c r="G21" s="97" t="s">
        <v>891</v>
      </c>
      <c r="H21" s="97" t="s">
        <v>890</v>
      </c>
      <c r="I21" s="97" t="s">
        <v>994</v>
      </c>
      <c r="J21" s="97" t="s">
        <v>21</v>
      </c>
      <c r="K21" s="98" t="s">
        <v>8</v>
      </c>
    </row>
    <row r="22" spans="1:11" ht="28.8">
      <c r="A22" s="94">
        <f>_xlfn.XLOOKUP(B22,' Lista de Entrevistas'!B:B,' Lista de Entrevistas'!A:A,"")</f>
        <v>3</v>
      </c>
      <c r="B22" s="99" t="s">
        <v>86</v>
      </c>
      <c r="C22" s="99" t="s">
        <v>1072</v>
      </c>
      <c r="D22" s="99" t="s">
        <v>121</v>
      </c>
      <c r="E22" s="99" t="s">
        <v>1139</v>
      </c>
      <c r="F22" s="99" t="s">
        <v>1019</v>
      </c>
      <c r="G22" s="99" t="s">
        <v>877</v>
      </c>
      <c r="H22" s="99" t="s">
        <v>850</v>
      </c>
      <c r="I22" s="99" t="s">
        <v>984</v>
      </c>
      <c r="J22" s="99" t="s">
        <v>21</v>
      </c>
      <c r="K22" s="100" t="s">
        <v>8</v>
      </c>
    </row>
    <row r="23" spans="1:11" ht="28.8">
      <c r="A23" s="94">
        <f>_xlfn.XLOOKUP(B23,' Lista de Entrevistas'!B:B,' Lista de Entrevistas'!A:A,"")</f>
        <v>3</v>
      </c>
      <c r="B23" s="97" t="s">
        <v>86</v>
      </c>
      <c r="C23" s="97" t="s">
        <v>1072</v>
      </c>
      <c r="D23" s="97" t="s">
        <v>121</v>
      </c>
      <c r="E23" s="97" t="s">
        <v>1139</v>
      </c>
      <c r="F23" s="97" t="s">
        <v>1019</v>
      </c>
      <c r="G23" s="97" t="s">
        <v>877</v>
      </c>
      <c r="H23" s="97" t="s">
        <v>850</v>
      </c>
      <c r="I23" s="97" t="s">
        <v>986</v>
      </c>
      <c r="J23" s="97" t="s">
        <v>21</v>
      </c>
      <c r="K23" s="98" t="s">
        <v>8</v>
      </c>
    </row>
    <row r="24" spans="1:11" ht="28.8">
      <c r="A24" s="94">
        <f>_xlfn.XLOOKUP(B24,' Lista de Entrevistas'!B:B,' Lista de Entrevistas'!A:A,"")</f>
        <v>4</v>
      </c>
      <c r="B24" s="99" t="s">
        <v>88</v>
      </c>
      <c r="C24" s="99" t="s">
        <v>1032</v>
      </c>
      <c r="D24" s="99" t="s">
        <v>121</v>
      </c>
      <c r="E24" s="99" t="s">
        <v>1125</v>
      </c>
      <c r="F24" s="99" t="s">
        <v>1046</v>
      </c>
      <c r="G24" s="99" t="s">
        <v>874</v>
      </c>
      <c r="H24" s="97" t="s">
        <v>890</v>
      </c>
      <c r="I24" s="99" t="s">
        <v>984</v>
      </c>
      <c r="J24" s="99" t="s">
        <v>17</v>
      </c>
      <c r="K24" s="100" t="s">
        <v>8</v>
      </c>
    </row>
    <row r="25" spans="1:11" ht="28.8">
      <c r="A25" s="92">
        <f>_xlfn.XLOOKUP(B25,' Lista de Entrevistas'!B:B,' Lista de Entrevistas'!A:A,"")</f>
        <v>4</v>
      </c>
      <c r="B25" s="97" t="s">
        <v>88</v>
      </c>
      <c r="C25" s="97" t="s">
        <v>1032</v>
      </c>
      <c r="D25" s="97" t="s">
        <v>121</v>
      </c>
      <c r="E25" s="97" t="s">
        <v>1125</v>
      </c>
      <c r="F25" s="97" t="s">
        <v>1046</v>
      </c>
      <c r="G25" s="97" t="s">
        <v>874</v>
      </c>
      <c r="H25" s="97" t="s">
        <v>890</v>
      </c>
      <c r="I25" s="97" t="s">
        <v>986</v>
      </c>
      <c r="J25" s="97" t="s">
        <v>17</v>
      </c>
      <c r="K25" s="98" t="s">
        <v>8</v>
      </c>
    </row>
    <row r="26" spans="1:11" ht="28.8">
      <c r="A26" s="94">
        <f>_xlfn.XLOOKUP(B26,' Lista de Entrevistas'!B:B,' Lista de Entrevistas'!A:A,"")</f>
        <v>4</v>
      </c>
      <c r="B26" s="99" t="s">
        <v>88</v>
      </c>
      <c r="C26" s="99" t="s">
        <v>1032</v>
      </c>
      <c r="D26" s="99" t="s">
        <v>121</v>
      </c>
      <c r="E26" s="99" t="s">
        <v>1126</v>
      </c>
      <c r="F26" s="99" t="s">
        <v>1104</v>
      </c>
      <c r="G26" s="99" t="s">
        <v>824</v>
      </c>
      <c r="H26" s="99" t="s">
        <v>853</v>
      </c>
      <c r="I26" s="99" t="s">
        <v>992</v>
      </c>
      <c r="J26" s="99" t="s">
        <v>12</v>
      </c>
      <c r="K26" s="100" t="s">
        <v>8</v>
      </c>
    </row>
    <row r="27" spans="1:11" ht="28.8">
      <c r="A27" s="92">
        <f>_xlfn.XLOOKUP(B27,' Lista de Entrevistas'!B:B,' Lista de Entrevistas'!A:A,"")</f>
        <v>4</v>
      </c>
      <c r="B27" s="97" t="s">
        <v>88</v>
      </c>
      <c r="C27" s="97" t="s">
        <v>1032</v>
      </c>
      <c r="D27" s="97" t="s">
        <v>121</v>
      </c>
      <c r="E27" s="97" t="s">
        <v>1126</v>
      </c>
      <c r="F27" s="97" t="s">
        <v>1104</v>
      </c>
      <c r="G27" s="97" t="s">
        <v>824</v>
      </c>
      <c r="H27" s="97" t="s">
        <v>853</v>
      </c>
      <c r="I27" s="97" t="s">
        <v>978</v>
      </c>
      <c r="J27" s="97" t="s">
        <v>12</v>
      </c>
      <c r="K27" s="98" t="s">
        <v>8</v>
      </c>
    </row>
    <row r="28" spans="1:11" ht="28.8">
      <c r="A28" s="94">
        <f>_xlfn.XLOOKUP(B28,' Lista de Entrevistas'!B:B,' Lista de Entrevistas'!A:A,"")</f>
        <v>4</v>
      </c>
      <c r="B28" s="99" t="s">
        <v>88</v>
      </c>
      <c r="C28" s="99" t="s">
        <v>1032</v>
      </c>
      <c r="D28" s="99" t="s">
        <v>121</v>
      </c>
      <c r="E28" s="99" t="s">
        <v>1127</v>
      </c>
      <c r="F28" s="99" t="s">
        <v>1120</v>
      </c>
      <c r="G28" s="99" t="s">
        <v>893</v>
      </c>
      <c r="H28" s="99" t="s">
        <v>853</v>
      </c>
      <c r="I28" s="99" t="s">
        <v>992</v>
      </c>
      <c r="J28" s="99" t="s">
        <v>17</v>
      </c>
      <c r="K28" s="100" t="s">
        <v>8</v>
      </c>
    </row>
    <row r="29" spans="1:11" ht="28.8">
      <c r="A29" s="92">
        <f>_xlfn.XLOOKUP(B29,' Lista de Entrevistas'!B:B,' Lista de Entrevistas'!A:A,"")</f>
        <v>4</v>
      </c>
      <c r="B29" s="97" t="s">
        <v>88</v>
      </c>
      <c r="C29" s="97" t="s">
        <v>1032</v>
      </c>
      <c r="D29" s="97" t="s">
        <v>121</v>
      </c>
      <c r="E29" s="97" t="s">
        <v>1127</v>
      </c>
      <c r="F29" s="97" t="s">
        <v>1120</v>
      </c>
      <c r="G29" s="97" t="s">
        <v>893</v>
      </c>
      <c r="H29" s="97" t="s">
        <v>853</v>
      </c>
      <c r="I29" s="97" t="s">
        <v>986</v>
      </c>
      <c r="J29" s="97" t="s">
        <v>17</v>
      </c>
      <c r="K29" s="98" t="s">
        <v>8</v>
      </c>
    </row>
    <row r="30" spans="1:11">
      <c r="A30" s="94">
        <f>_xlfn.XLOOKUP(B30,' Lista de Entrevistas'!B:B,' Lista de Entrevistas'!A:A,"")</f>
        <v>4</v>
      </c>
      <c r="B30" s="99" t="s">
        <v>88</v>
      </c>
      <c r="C30" s="99" t="s">
        <v>1032</v>
      </c>
      <c r="D30" s="99" t="s">
        <v>121</v>
      </c>
      <c r="E30" s="99" t="s">
        <v>1128</v>
      </c>
      <c r="F30" s="99" t="s">
        <v>1129</v>
      </c>
      <c r="G30" s="99" t="s">
        <v>881</v>
      </c>
      <c r="H30" s="99" t="s">
        <v>853</v>
      </c>
      <c r="I30" s="99" t="s">
        <v>978</v>
      </c>
      <c r="J30" s="99" t="s">
        <v>12</v>
      </c>
      <c r="K30" s="100" t="s">
        <v>13</v>
      </c>
    </row>
    <row r="31" spans="1:11" ht="28.8">
      <c r="A31" s="92">
        <f>_xlfn.XLOOKUP(B31,' Lista de Entrevistas'!B:B,' Lista de Entrevistas'!A:A,"")</f>
        <v>4</v>
      </c>
      <c r="B31" s="97" t="s">
        <v>88</v>
      </c>
      <c r="C31" s="97" t="s">
        <v>1032</v>
      </c>
      <c r="D31" s="97" t="s">
        <v>121</v>
      </c>
      <c r="E31" s="97" t="s">
        <v>1128</v>
      </c>
      <c r="F31" s="97" t="s">
        <v>1129</v>
      </c>
      <c r="G31" s="97" t="s">
        <v>881</v>
      </c>
      <c r="H31" s="97" t="s">
        <v>853</v>
      </c>
      <c r="I31" s="97" t="s">
        <v>992</v>
      </c>
      <c r="J31" s="97" t="s">
        <v>12</v>
      </c>
      <c r="K31" s="98" t="s">
        <v>13</v>
      </c>
    </row>
    <row r="32" spans="1:11" ht="28.8">
      <c r="A32" s="94">
        <f>_xlfn.XLOOKUP(B32,' Lista de Entrevistas'!B:B,' Lista de Entrevistas'!A:A,"")</f>
        <v>4</v>
      </c>
      <c r="B32" s="99" t="s">
        <v>88</v>
      </c>
      <c r="C32" s="99" t="s">
        <v>1032</v>
      </c>
      <c r="D32" s="99" t="s">
        <v>121</v>
      </c>
      <c r="E32" s="99" t="s">
        <v>1130</v>
      </c>
      <c r="F32" s="99" t="s">
        <v>1106</v>
      </c>
      <c r="G32" s="99" t="s">
        <v>892</v>
      </c>
      <c r="H32" s="99" t="s">
        <v>853</v>
      </c>
      <c r="I32" s="99" t="s">
        <v>992</v>
      </c>
      <c r="J32" s="99" t="s">
        <v>12</v>
      </c>
      <c r="K32" s="100" t="s">
        <v>8</v>
      </c>
    </row>
    <row r="33" spans="1:11" ht="28.8">
      <c r="A33" s="92">
        <f>_xlfn.XLOOKUP(B33,' Lista de Entrevistas'!B:B,' Lista de Entrevistas'!A:A,"")</f>
        <v>4</v>
      </c>
      <c r="B33" s="97" t="s">
        <v>88</v>
      </c>
      <c r="C33" s="97" t="s">
        <v>1032</v>
      </c>
      <c r="D33" s="97" t="s">
        <v>121</v>
      </c>
      <c r="E33" s="97" t="s">
        <v>1130</v>
      </c>
      <c r="F33" s="97" t="s">
        <v>1106</v>
      </c>
      <c r="G33" s="97" t="s">
        <v>892</v>
      </c>
      <c r="H33" s="97" t="s">
        <v>853</v>
      </c>
      <c r="I33" s="97" t="s">
        <v>988</v>
      </c>
      <c r="J33" s="97" t="s">
        <v>12</v>
      </c>
      <c r="K33" s="98" t="s">
        <v>8</v>
      </c>
    </row>
    <row r="34" spans="1:11" ht="28.8">
      <c r="A34" s="94">
        <f>_xlfn.XLOOKUP(B34,' Lista de Entrevistas'!B:B,' Lista de Entrevistas'!A:A,"")</f>
        <v>4</v>
      </c>
      <c r="B34" s="99" t="s">
        <v>88</v>
      </c>
      <c r="C34" s="99" t="s">
        <v>1032</v>
      </c>
      <c r="D34" s="99" t="s">
        <v>121</v>
      </c>
      <c r="E34" s="99" t="s">
        <v>1131</v>
      </c>
      <c r="F34" s="99" t="s">
        <v>1052</v>
      </c>
      <c r="G34" s="99" t="s">
        <v>885</v>
      </c>
      <c r="H34" s="99" t="s">
        <v>28</v>
      </c>
      <c r="I34" s="99" t="s">
        <v>994</v>
      </c>
      <c r="J34" s="99" t="s">
        <v>21</v>
      </c>
      <c r="K34" s="100" t="s">
        <v>8</v>
      </c>
    </row>
    <row r="35" spans="1:11" ht="28.8">
      <c r="A35" s="92">
        <f>_xlfn.XLOOKUP(B35,' Lista de Entrevistas'!B:B,' Lista de Entrevistas'!A:A,"")</f>
        <v>4</v>
      </c>
      <c r="B35" s="97" t="s">
        <v>88</v>
      </c>
      <c r="C35" s="97" t="s">
        <v>1032</v>
      </c>
      <c r="D35" s="97" t="s">
        <v>121</v>
      </c>
      <c r="E35" s="97" t="s">
        <v>1131</v>
      </c>
      <c r="F35" s="97" t="s">
        <v>1052</v>
      </c>
      <c r="G35" s="97" t="s">
        <v>885</v>
      </c>
      <c r="H35" s="97" t="s">
        <v>28</v>
      </c>
      <c r="I35" s="97" t="s">
        <v>986</v>
      </c>
      <c r="J35" s="97" t="s">
        <v>21</v>
      </c>
      <c r="K35" s="98" t="s">
        <v>8</v>
      </c>
    </row>
    <row r="36" spans="1:11" ht="28.8">
      <c r="A36" s="94">
        <f>_xlfn.XLOOKUP(B36,' Lista de Entrevistas'!B:B,' Lista de Entrevistas'!A:A,"")</f>
        <v>4</v>
      </c>
      <c r="B36" s="99" t="s">
        <v>88</v>
      </c>
      <c r="C36" s="99" t="s">
        <v>1032</v>
      </c>
      <c r="D36" s="99" t="s">
        <v>121</v>
      </c>
      <c r="E36" s="99" t="s">
        <v>1132</v>
      </c>
      <c r="F36" s="99" t="s">
        <v>1133</v>
      </c>
      <c r="G36" s="99" t="s">
        <v>895</v>
      </c>
      <c r="H36" s="99" t="s">
        <v>854</v>
      </c>
      <c r="I36" s="99" t="s">
        <v>988</v>
      </c>
      <c r="J36" s="99" t="s">
        <v>17</v>
      </c>
      <c r="K36" s="100" t="s">
        <v>8</v>
      </c>
    </row>
    <row r="37" spans="1:11" ht="28.8">
      <c r="A37" s="92">
        <f>_xlfn.XLOOKUP(B37,' Lista de Entrevistas'!B:B,' Lista de Entrevistas'!A:A,"")</f>
        <v>4</v>
      </c>
      <c r="B37" s="97" t="s">
        <v>88</v>
      </c>
      <c r="C37" s="97" t="s">
        <v>1032</v>
      </c>
      <c r="D37" s="97" t="s">
        <v>121</v>
      </c>
      <c r="E37" s="97" t="s">
        <v>1132</v>
      </c>
      <c r="F37" s="97" t="s">
        <v>1133</v>
      </c>
      <c r="G37" s="97" t="s">
        <v>895</v>
      </c>
      <c r="H37" s="97" t="s">
        <v>854</v>
      </c>
      <c r="I37" s="97" t="s">
        <v>994</v>
      </c>
      <c r="J37" s="97" t="s">
        <v>17</v>
      </c>
      <c r="K37" s="98" t="s">
        <v>8</v>
      </c>
    </row>
    <row r="38" spans="1:11" ht="28.8">
      <c r="A38" s="94">
        <f>_xlfn.XLOOKUP(B38,' Lista de Entrevistas'!B:B,' Lista de Entrevistas'!A:A,"")</f>
        <v>5</v>
      </c>
      <c r="B38" s="99" t="s">
        <v>91</v>
      </c>
      <c r="C38" s="99" t="s">
        <v>117</v>
      </c>
      <c r="D38" s="99" t="s">
        <v>121</v>
      </c>
      <c r="E38" s="107" t="s">
        <v>1047</v>
      </c>
      <c r="F38" s="99" t="s">
        <v>1044</v>
      </c>
      <c r="G38" s="99" t="s">
        <v>872</v>
      </c>
      <c r="H38" s="97" t="s">
        <v>890</v>
      </c>
      <c r="I38" s="99" t="s">
        <v>984</v>
      </c>
      <c r="J38" s="99" t="s">
        <v>17</v>
      </c>
      <c r="K38" s="100" t="s">
        <v>8</v>
      </c>
    </row>
    <row r="39" spans="1:11" ht="28.8">
      <c r="A39" s="92">
        <f>_xlfn.XLOOKUP(B39,' Lista de Entrevistas'!B:B,' Lista de Entrevistas'!A:A,"")</f>
        <v>5</v>
      </c>
      <c r="B39" s="97" t="s">
        <v>91</v>
      </c>
      <c r="C39" s="97" t="s">
        <v>117</v>
      </c>
      <c r="D39" s="97" t="s">
        <v>121</v>
      </c>
      <c r="E39" s="108" t="s">
        <v>1047</v>
      </c>
      <c r="F39" s="97" t="s">
        <v>1044</v>
      </c>
      <c r="G39" s="97" t="s">
        <v>872</v>
      </c>
      <c r="H39" s="97" t="s">
        <v>890</v>
      </c>
      <c r="I39" s="97" t="s">
        <v>988</v>
      </c>
      <c r="J39" s="97" t="s">
        <v>17</v>
      </c>
      <c r="K39" s="98" t="s">
        <v>8</v>
      </c>
    </row>
    <row r="40" spans="1:11" ht="28.8">
      <c r="A40" s="94">
        <f>_xlfn.XLOOKUP(B40,' Lista de Entrevistas'!B:B,' Lista de Entrevistas'!A:A,"")</f>
        <v>5</v>
      </c>
      <c r="B40" s="99" t="s">
        <v>91</v>
      </c>
      <c r="C40" s="99" t="s">
        <v>117</v>
      </c>
      <c r="D40" s="99" t="s">
        <v>121</v>
      </c>
      <c r="E40" s="107" t="s">
        <v>1012</v>
      </c>
      <c r="F40" s="99" t="s">
        <v>1048</v>
      </c>
      <c r="G40" s="99" t="s">
        <v>883</v>
      </c>
      <c r="H40" s="99" t="s">
        <v>853</v>
      </c>
      <c r="I40" s="99" t="s">
        <v>988</v>
      </c>
      <c r="J40" s="99" t="s">
        <v>17</v>
      </c>
      <c r="K40" s="100" t="s">
        <v>8</v>
      </c>
    </row>
    <row r="41" spans="1:11" ht="28.8">
      <c r="A41" s="92">
        <f>_xlfn.XLOOKUP(B41,' Lista de Entrevistas'!B:B,' Lista de Entrevistas'!A:A,"")</f>
        <v>5</v>
      </c>
      <c r="B41" s="97" t="s">
        <v>91</v>
      </c>
      <c r="C41" s="97" t="s">
        <v>117</v>
      </c>
      <c r="D41" s="97" t="s">
        <v>121</v>
      </c>
      <c r="E41" s="108" t="s">
        <v>1012</v>
      </c>
      <c r="F41" s="97" t="s">
        <v>1048</v>
      </c>
      <c r="G41" s="97" t="s">
        <v>883</v>
      </c>
      <c r="H41" s="97" t="s">
        <v>853</v>
      </c>
      <c r="I41" s="97" t="s">
        <v>994</v>
      </c>
      <c r="J41" s="97" t="s">
        <v>17</v>
      </c>
      <c r="K41" s="98" t="s">
        <v>8</v>
      </c>
    </row>
    <row r="42" spans="1:11" ht="28.8">
      <c r="A42" s="94">
        <f>_xlfn.XLOOKUP(B42,' Lista de Entrevistas'!B:B,' Lista de Entrevistas'!A:A,"")</f>
        <v>5</v>
      </c>
      <c r="B42" s="99" t="s">
        <v>91</v>
      </c>
      <c r="C42" s="99" t="s">
        <v>117</v>
      </c>
      <c r="D42" s="99" t="s">
        <v>121</v>
      </c>
      <c r="E42" s="107" t="s">
        <v>1049</v>
      </c>
      <c r="F42" s="99" t="s">
        <v>1050</v>
      </c>
      <c r="G42" s="99" t="s">
        <v>824</v>
      </c>
      <c r="H42" s="99" t="s">
        <v>853</v>
      </c>
      <c r="I42" s="99" t="s">
        <v>992</v>
      </c>
      <c r="J42" s="99" t="s">
        <v>17</v>
      </c>
      <c r="K42" s="100" t="s">
        <v>8</v>
      </c>
    </row>
    <row r="43" spans="1:11" ht="28.8">
      <c r="A43" s="92">
        <f>_xlfn.XLOOKUP(B43,' Lista de Entrevistas'!B:B,' Lista de Entrevistas'!A:A,"")</f>
        <v>5</v>
      </c>
      <c r="B43" s="97" t="s">
        <v>91</v>
      </c>
      <c r="C43" s="97" t="s">
        <v>117</v>
      </c>
      <c r="D43" s="97" t="s">
        <v>121</v>
      </c>
      <c r="E43" s="108" t="s">
        <v>1049</v>
      </c>
      <c r="F43" s="97" t="s">
        <v>1050</v>
      </c>
      <c r="G43" s="97" t="s">
        <v>824</v>
      </c>
      <c r="H43" s="97" t="s">
        <v>853</v>
      </c>
      <c r="I43" s="97" t="s">
        <v>994</v>
      </c>
      <c r="J43" s="97" t="s">
        <v>17</v>
      </c>
      <c r="K43" s="98" t="s">
        <v>8</v>
      </c>
    </row>
    <row r="44" spans="1:11" ht="28.8">
      <c r="A44" s="94">
        <f>_xlfn.XLOOKUP(B44,' Lista de Entrevistas'!B:B,' Lista de Entrevistas'!A:A,"")</f>
        <v>5</v>
      </c>
      <c r="B44" s="99" t="s">
        <v>91</v>
      </c>
      <c r="C44" s="99" t="s">
        <v>117</v>
      </c>
      <c r="D44" s="99" t="s">
        <v>121</v>
      </c>
      <c r="E44" s="107" t="s">
        <v>1051</v>
      </c>
      <c r="F44" s="99" t="s">
        <v>1052</v>
      </c>
      <c r="G44" s="99" t="s">
        <v>885</v>
      </c>
      <c r="H44" s="99" t="s">
        <v>28</v>
      </c>
      <c r="I44" s="99" t="s">
        <v>994</v>
      </c>
      <c r="J44" s="99" t="s">
        <v>21</v>
      </c>
      <c r="K44" s="100" t="s">
        <v>8</v>
      </c>
    </row>
    <row r="45" spans="1:11" ht="28.8">
      <c r="A45" s="92">
        <f>_xlfn.XLOOKUP(B45,' Lista de Entrevistas'!B:B,' Lista de Entrevistas'!A:A,"")</f>
        <v>5</v>
      </c>
      <c r="B45" s="97" t="s">
        <v>91</v>
      </c>
      <c r="C45" s="97" t="s">
        <v>117</v>
      </c>
      <c r="D45" s="97" t="s">
        <v>121</v>
      </c>
      <c r="E45" s="108" t="s">
        <v>1051</v>
      </c>
      <c r="F45" s="97" t="s">
        <v>1052</v>
      </c>
      <c r="G45" s="97" t="s">
        <v>885</v>
      </c>
      <c r="H45" s="97" t="s">
        <v>28</v>
      </c>
      <c r="I45" s="97" t="s">
        <v>986</v>
      </c>
      <c r="J45" s="97" t="s">
        <v>21</v>
      </c>
      <c r="K45" s="98" t="s">
        <v>8</v>
      </c>
    </row>
    <row r="46" spans="1:11" ht="28.8">
      <c r="A46" s="94">
        <f>_xlfn.XLOOKUP(B46,' Lista de Entrevistas'!B:B,' Lista de Entrevistas'!A:A,"")</f>
        <v>5</v>
      </c>
      <c r="B46" s="99" t="s">
        <v>91</v>
      </c>
      <c r="C46" s="99" t="s">
        <v>117</v>
      </c>
      <c r="D46" s="99" t="s">
        <v>121</v>
      </c>
      <c r="E46" s="107" t="s">
        <v>1053</v>
      </c>
      <c r="F46" s="99" t="s">
        <v>1054</v>
      </c>
      <c r="G46" s="99" t="s">
        <v>881</v>
      </c>
      <c r="H46" s="99" t="s">
        <v>853</v>
      </c>
      <c r="I46" s="99" t="s">
        <v>980</v>
      </c>
      <c r="J46" s="99" t="s">
        <v>12</v>
      </c>
      <c r="K46" s="100" t="s">
        <v>13</v>
      </c>
    </row>
    <row r="47" spans="1:11" ht="28.8">
      <c r="A47" s="92">
        <f>_xlfn.XLOOKUP(B47,' Lista de Entrevistas'!B:B,' Lista de Entrevistas'!A:A,"")</f>
        <v>5</v>
      </c>
      <c r="B47" s="97" t="s">
        <v>91</v>
      </c>
      <c r="C47" s="97" t="s">
        <v>117</v>
      </c>
      <c r="D47" s="97" t="s">
        <v>121</v>
      </c>
      <c r="E47" s="108" t="s">
        <v>1053</v>
      </c>
      <c r="F47" s="97" t="s">
        <v>1054</v>
      </c>
      <c r="G47" s="97" t="s">
        <v>881</v>
      </c>
      <c r="H47" s="97" t="s">
        <v>853</v>
      </c>
      <c r="I47" s="97" t="s">
        <v>978</v>
      </c>
      <c r="J47" s="97" t="s">
        <v>12</v>
      </c>
      <c r="K47" s="98" t="s">
        <v>13</v>
      </c>
    </row>
    <row r="48" spans="1:11" ht="28.8">
      <c r="A48" s="94">
        <f>_xlfn.XLOOKUP(B48,' Lista de Entrevistas'!B:B,' Lista de Entrevistas'!A:A,"")</f>
        <v>6</v>
      </c>
      <c r="B48" s="99" t="s">
        <v>93</v>
      </c>
      <c r="C48" s="99" t="s">
        <v>1032</v>
      </c>
      <c r="D48" s="99" t="s">
        <v>121</v>
      </c>
      <c r="E48" s="99" t="s">
        <v>1144</v>
      </c>
      <c r="F48" s="99" t="s">
        <v>1133</v>
      </c>
      <c r="G48" s="99" t="s">
        <v>895</v>
      </c>
      <c r="H48" s="99" t="s">
        <v>854</v>
      </c>
      <c r="I48" s="99" t="s">
        <v>988</v>
      </c>
      <c r="J48" s="99" t="s">
        <v>17</v>
      </c>
      <c r="K48" s="100" t="s">
        <v>8</v>
      </c>
    </row>
    <row r="49" spans="1:11" ht="28.8">
      <c r="A49" s="92">
        <f>_xlfn.XLOOKUP(B49,' Lista de Entrevistas'!B:B,' Lista de Entrevistas'!A:A,"")</f>
        <v>6</v>
      </c>
      <c r="B49" s="97" t="s">
        <v>93</v>
      </c>
      <c r="C49" s="97" t="s">
        <v>1032</v>
      </c>
      <c r="D49" s="97" t="s">
        <v>121</v>
      </c>
      <c r="E49" s="97" t="s">
        <v>1144</v>
      </c>
      <c r="F49" s="97" t="s">
        <v>1133</v>
      </c>
      <c r="G49" s="97" t="s">
        <v>895</v>
      </c>
      <c r="H49" s="97" t="s">
        <v>854</v>
      </c>
      <c r="I49" s="97" t="s">
        <v>982</v>
      </c>
      <c r="J49" s="97" t="s">
        <v>17</v>
      </c>
      <c r="K49" s="98" t="s">
        <v>8</v>
      </c>
    </row>
    <row r="50" spans="1:11" ht="28.8">
      <c r="A50" s="94">
        <f>_xlfn.XLOOKUP(B50,' Lista de Entrevistas'!B:B,' Lista de Entrevistas'!A:A,"")</f>
        <v>6</v>
      </c>
      <c r="B50" s="99" t="s">
        <v>93</v>
      </c>
      <c r="C50" s="99" t="s">
        <v>1032</v>
      </c>
      <c r="D50" s="99" t="s">
        <v>121</v>
      </c>
      <c r="E50" s="99" t="s">
        <v>1145</v>
      </c>
      <c r="F50" s="99" t="s">
        <v>1146</v>
      </c>
      <c r="G50" s="99" t="s">
        <v>895</v>
      </c>
      <c r="H50" s="99" t="s">
        <v>854</v>
      </c>
      <c r="I50" s="99" t="s">
        <v>988</v>
      </c>
      <c r="J50" s="99" t="s">
        <v>12</v>
      </c>
      <c r="K50" s="100" t="s">
        <v>13</v>
      </c>
    </row>
    <row r="51" spans="1:11" ht="28.8">
      <c r="A51" s="92">
        <f>_xlfn.XLOOKUP(B51,' Lista de Entrevistas'!B:B,' Lista de Entrevistas'!A:A,"")</f>
        <v>6</v>
      </c>
      <c r="B51" s="97" t="s">
        <v>93</v>
      </c>
      <c r="C51" s="97" t="s">
        <v>1032</v>
      </c>
      <c r="D51" s="97" t="s">
        <v>121</v>
      </c>
      <c r="E51" s="97" t="s">
        <v>1145</v>
      </c>
      <c r="F51" s="97" t="s">
        <v>1146</v>
      </c>
      <c r="G51" s="97" t="s">
        <v>895</v>
      </c>
      <c r="H51" s="97" t="s">
        <v>854</v>
      </c>
      <c r="I51" s="97" t="s">
        <v>978</v>
      </c>
      <c r="J51" s="97" t="s">
        <v>12</v>
      </c>
      <c r="K51" s="98" t="s">
        <v>13</v>
      </c>
    </row>
    <row r="52" spans="1:11" ht="28.8">
      <c r="A52" s="94">
        <f>_xlfn.XLOOKUP(B52,' Lista de Entrevistas'!B:B,' Lista de Entrevistas'!A:A,"")</f>
        <v>6</v>
      </c>
      <c r="B52" s="99" t="s">
        <v>93</v>
      </c>
      <c r="C52" s="99" t="s">
        <v>1032</v>
      </c>
      <c r="D52" s="99" t="s">
        <v>121</v>
      </c>
      <c r="E52" s="99" t="s">
        <v>1147</v>
      </c>
      <c r="F52" s="99" t="s">
        <v>1048</v>
      </c>
      <c r="G52" s="99" t="s">
        <v>883</v>
      </c>
      <c r="H52" s="99" t="s">
        <v>853</v>
      </c>
      <c r="I52" s="99" t="s">
        <v>988</v>
      </c>
      <c r="J52" s="99" t="s">
        <v>17</v>
      </c>
      <c r="K52" s="100" t="s">
        <v>8</v>
      </c>
    </row>
    <row r="53" spans="1:11" ht="28.8">
      <c r="A53" s="92">
        <f>_xlfn.XLOOKUP(B53,' Lista de Entrevistas'!B:B,' Lista de Entrevistas'!A:A,"")</f>
        <v>6</v>
      </c>
      <c r="B53" s="97" t="s">
        <v>93</v>
      </c>
      <c r="C53" s="97" t="s">
        <v>1032</v>
      </c>
      <c r="D53" s="97" t="s">
        <v>121</v>
      </c>
      <c r="E53" s="97" t="s">
        <v>1147</v>
      </c>
      <c r="F53" s="97" t="s">
        <v>1048</v>
      </c>
      <c r="G53" s="97" t="s">
        <v>883</v>
      </c>
      <c r="H53" s="97" t="s">
        <v>853</v>
      </c>
      <c r="I53" s="97" t="s">
        <v>994</v>
      </c>
      <c r="J53" s="97" t="s">
        <v>17</v>
      </c>
      <c r="K53" s="98" t="s">
        <v>8</v>
      </c>
    </row>
    <row r="54" spans="1:11" ht="28.8">
      <c r="A54" s="94">
        <f>_xlfn.XLOOKUP(B54,' Lista de Entrevistas'!B:B,' Lista de Entrevistas'!A:A,"")</f>
        <v>7</v>
      </c>
      <c r="B54" s="99" t="s">
        <v>1013</v>
      </c>
      <c r="C54" s="99" t="s">
        <v>1032</v>
      </c>
      <c r="D54" s="99" t="s">
        <v>121</v>
      </c>
      <c r="E54" s="99" t="s">
        <v>1148</v>
      </c>
      <c r="F54" s="99" t="s">
        <v>1149</v>
      </c>
      <c r="G54" s="99" t="s">
        <v>887</v>
      </c>
      <c r="H54" s="99" t="s">
        <v>28</v>
      </c>
      <c r="I54" s="99" t="s">
        <v>994</v>
      </c>
      <c r="J54" s="99" t="s">
        <v>17</v>
      </c>
      <c r="K54" s="100" t="s">
        <v>13</v>
      </c>
    </row>
    <row r="55" spans="1:11" ht="28.8">
      <c r="A55" s="92">
        <f>_xlfn.XLOOKUP(B55,' Lista de Entrevistas'!B:B,' Lista de Entrevistas'!A:A,"")</f>
        <v>7</v>
      </c>
      <c r="B55" s="97" t="s">
        <v>1013</v>
      </c>
      <c r="C55" s="97" t="s">
        <v>1032</v>
      </c>
      <c r="D55" s="97" t="s">
        <v>121</v>
      </c>
      <c r="E55" s="97" t="s">
        <v>1148</v>
      </c>
      <c r="F55" s="97" t="s">
        <v>1149</v>
      </c>
      <c r="G55" s="97" t="s">
        <v>887</v>
      </c>
      <c r="H55" s="97" t="s">
        <v>28</v>
      </c>
      <c r="I55" s="97" t="s">
        <v>986</v>
      </c>
      <c r="J55" s="97" t="s">
        <v>17</v>
      </c>
      <c r="K55" s="98" t="s">
        <v>13</v>
      </c>
    </row>
    <row r="56" spans="1:11" ht="28.8">
      <c r="A56" s="94">
        <f>_xlfn.XLOOKUP(B56,' Lista de Entrevistas'!B:B,' Lista de Entrevistas'!A:A,"")</f>
        <v>7</v>
      </c>
      <c r="B56" s="99" t="s">
        <v>1013</v>
      </c>
      <c r="C56" s="99" t="s">
        <v>1032</v>
      </c>
      <c r="D56" s="99" t="s">
        <v>121</v>
      </c>
      <c r="E56" s="99" t="s">
        <v>1150</v>
      </c>
      <c r="F56" s="99" t="s">
        <v>1113</v>
      </c>
      <c r="G56" s="99" t="s">
        <v>862</v>
      </c>
      <c r="H56" s="99" t="s">
        <v>854</v>
      </c>
      <c r="I56" s="99" t="s">
        <v>994</v>
      </c>
      <c r="J56" s="99" t="s">
        <v>17</v>
      </c>
      <c r="K56" s="100" t="s">
        <v>8</v>
      </c>
    </row>
    <row r="57" spans="1:11" ht="28.8">
      <c r="A57" s="92">
        <f>_xlfn.XLOOKUP(B57,' Lista de Entrevistas'!B:B,' Lista de Entrevistas'!A:A,"")</f>
        <v>7</v>
      </c>
      <c r="B57" s="97" t="s">
        <v>1013</v>
      </c>
      <c r="C57" s="97" t="s">
        <v>1032</v>
      </c>
      <c r="D57" s="97" t="s">
        <v>121</v>
      </c>
      <c r="E57" s="97" t="s">
        <v>1150</v>
      </c>
      <c r="F57" s="97" t="s">
        <v>1113</v>
      </c>
      <c r="G57" s="97" t="s">
        <v>862</v>
      </c>
      <c r="H57" s="97" t="s">
        <v>854</v>
      </c>
      <c r="I57" s="97" t="s">
        <v>986</v>
      </c>
      <c r="J57" s="97" t="s">
        <v>17</v>
      </c>
      <c r="K57" s="98" t="s">
        <v>8</v>
      </c>
    </row>
    <row r="58" spans="1:11" ht="28.8">
      <c r="A58" s="94">
        <f>_xlfn.XLOOKUP(B58,' Lista de Entrevistas'!B:B,' Lista de Entrevistas'!A:A,"")</f>
        <v>7</v>
      </c>
      <c r="B58" s="99" t="s">
        <v>1013</v>
      </c>
      <c r="C58" s="99" t="s">
        <v>1032</v>
      </c>
      <c r="D58" s="99" t="s">
        <v>121</v>
      </c>
      <c r="E58" s="99" t="s">
        <v>1151</v>
      </c>
      <c r="F58" s="99" t="s">
        <v>1017</v>
      </c>
      <c r="G58" s="99" t="s">
        <v>862</v>
      </c>
      <c r="H58" s="99" t="s">
        <v>854</v>
      </c>
      <c r="I58" s="99" t="s">
        <v>994</v>
      </c>
      <c r="J58" s="99" t="s">
        <v>17</v>
      </c>
      <c r="K58" s="100" t="s">
        <v>8</v>
      </c>
    </row>
    <row r="59" spans="1:11" ht="28.8">
      <c r="A59" s="92">
        <f>_xlfn.XLOOKUP(B59,' Lista de Entrevistas'!B:B,' Lista de Entrevistas'!A:A,"")</f>
        <v>7</v>
      </c>
      <c r="B59" s="97" t="s">
        <v>1013</v>
      </c>
      <c r="C59" s="97" t="s">
        <v>1032</v>
      </c>
      <c r="D59" s="97" t="s">
        <v>121</v>
      </c>
      <c r="E59" s="97" t="s">
        <v>1151</v>
      </c>
      <c r="F59" s="97" t="s">
        <v>1017</v>
      </c>
      <c r="G59" s="97" t="s">
        <v>862</v>
      </c>
      <c r="H59" s="97" t="s">
        <v>854</v>
      </c>
      <c r="I59" s="97" t="s">
        <v>986</v>
      </c>
      <c r="J59" s="97" t="s">
        <v>17</v>
      </c>
      <c r="K59" s="98" t="s">
        <v>8</v>
      </c>
    </row>
    <row r="60" spans="1:11" ht="28.8">
      <c r="A60" s="94">
        <f>_xlfn.XLOOKUP(B60,' Lista de Entrevistas'!B:B,' Lista de Entrevistas'!A:A,"")</f>
        <v>7</v>
      </c>
      <c r="B60" s="99" t="s">
        <v>1013</v>
      </c>
      <c r="C60" s="99" t="s">
        <v>1032</v>
      </c>
      <c r="D60" s="99" t="s">
        <v>121</v>
      </c>
      <c r="E60" s="99" t="s">
        <v>1152</v>
      </c>
      <c r="F60" s="99" t="s">
        <v>1064</v>
      </c>
      <c r="G60" s="99" t="s">
        <v>861</v>
      </c>
      <c r="H60" s="99" t="s">
        <v>854</v>
      </c>
      <c r="I60" s="99" t="s">
        <v>986</v>
      </c>
      <c r="J60" s="99" t="s">
        <v>17</v>
      </c>
      <c r="K60" s="100" t="s">
        <v>8</v>
      </c>
    </row>
    <row r="61" spans="1:11" ht="28.8">
      <c r="A61" s="92">
        <f>_xlfn.XLOOKUP(B61,' Lista de Entrevistas'!B:B,' Lista de Entrevistas'!A:A,"")</f>
        <v>7</v>
      </c>
      <c r="B61" s="97" t="s">
        <v>1013</v>
      </c>
      <c r="C61" s="97" t="s">
        <v>1032</v>
      </c>
      <c r="D61" s="97" t="s">
        <v>121</v>
      </c>
      <c r="E61" s="97" t="s">
        <v>1152</v>
      </c>
      <c r="F61" s="97" t="s">
        <v>1064</v>
      </c>
      <c r="G61" s="97" t="s">
        <v>861</v>
      </c>
      <c r="H61" s="97" t="s">
        <v>854</v>
      </c>
      <c r="I61" s="97" t="s">
        <v>994</v>
      </c>
      <c r="J61" s="97" t="s">
        <v>17</v>
      </c>
      <c r="K61" s="98" t="s">
        <v>8</v>
      </c>
    </row>
    <row r="62" spans="1:11" ht="28.8">
      <c r="A62" s="94">
        <f>_xlfn.XLOOKUP(B62,' Lista de Entrevistas'!B:B,' Lista de Entrevistas'!A:A,"")</f>
        <v>8</v>
      </c>
      <c r="B62" s="99" t="s">
        <v>97</v>
      </c>
      <c r="C62" s="99" t="s">
        <v>117</v>
      </c>
      <c r="D62" s="99" t="s">
        <v>121</v>
      </c>
      <c r="E62" s="99" t="s">
        <v>1093</v>
      </c>
      <c r="F62" s="99" t="s">
        <v>1052</v>
      </c>
      <c r="G62" s="99" t="s">
        <v>885</v>
      </c>
      <c r="H62" s="99" t="s">
        <v>28</v>
      </c>
      <c r="I62" s="99" t="s">
        <v>986</v>
      </c>
      <c r="J62" s="99" t="s">
        <v>21</v>
      </c>
      <c r="K62" s="100" t="s">
        <v>8</v>
      </c>
    </row>
    <row r="63" spans="1:11" ht="28.8">
      <c r="A63" s="92">
        <f>_xlfn.XLOOKUP(B63,' Lista de Entrevistas'!B:B,' Lista de Entrevistas'!A:A,"")</f>
        <v>8</v>
      </c>
      <c r="B63" s="97" t="s">
        <v>97</v>
      </c>
      <c r="C63" s="97" t="s">
        <v>117</v>
      </c>
      <c r="D63" s="97" t="s">
        <v>121</v>
      </c>
      <c r="E63" s="97" t="s">
        <v>1093</v>
      </c>
      <c r="F63" s="97" t="s">
        <v>1052</v>
      </c>
      <c r="G63" s="97" t="s">
        <v>885</v>
      </c>
      <c r="H63" s="97" t="s">
        <v>28</v>
      </c>
      <c r="I63" s="97" t="s">
        <v>994</v>
      </c>
      <c r="J63" s="97" t="s">
        <v>21</v>
      </c>
      <c r="K63" s="98" t="s">
        <v>8</v>
      </c>
    </row>
    <row r="64" spans="1:11" ht="28.8">
      <c r="A64" s="94">
        <f>_xlfn.XLOOKUP(B64,' Lista de Entrevistas'!B:B,' Lista de Entrevistas'!A:A,"")</f>
        <v>8</v>
      </c>
      <c r="B64" s="99" t="s">
        <v>97</v>
      </c>
      <c r="C64" s="99" t="s">
        <v>117</v>
      </c>
      <c r="D64" s="99" t="s">
        <v>121</v>
      </c>
      <c r="E64" s="99" t="s">
        <v>1094</v>
      </c>
      <c r="F64" s="99" t="s">
        <v>1095</v>
      </c>
      <c r="G64" s="99" t="s">
        <v>862</v>
      </c>
      <c r="H64" s="99" t="s">
        <v>854</v>
      </c>
      <c r="I64" s="99" t="s">
        <v>980</v>
      </c>
      <c r="J64" s="99" t="s">
        <v>17</v>
      </c>
      <c r="K64" s="100" t="s">
        <v>13</v>
      </c>
    </row>
    <row r="65" spans="1:11" ht="28.8">
      <c r="A65" s="92">
        <f>_xlfn.XLOOKUP(B65,' Lista de Entrevistas'!B:B,' Lista de Entrevistas'!A:A,"")</f>
        <v>8</v>
      </c>
      <c r="B65" s="97" t="s">
        <v>97</v>
      </c>
      <c r="C65" s="97" t="s">
        <v>117</v>
      </c>
      <c r="D65" s="97" t="s">
        <v>121</v>
      </c>
      <c r="E65" s="97" t="s">
        <v>1094</v>
      </c>
      <c r="F65" s="97" t="s">
        <v>1095</v>
      </c>
      <c r="G65" s="97" t="s">
        <v>862</v>
      </c>
      <c r="H65" s="97" t="s">
        <v>854</v>
      </c>
      <c r="I65" s="97" t="s">
        <v>982</v>
      </c>
      <c r="J65" s="97" t="s">
        <v>17</v>
      </c>
      <c r="K65" s="98" t="s">
        <v>13</v>
      </c>
    </row>
    <row r="66" spans="1:11" ht="28.8">
      <c r="A66" s="94">
        <f>_xlfn.XLOOKUP(B66,' Lista de Entrevistas'!B:B,' Lista de Entrevistas'!A:A,"")</f>
        <v>8</v>
      </c>
      <c r="B66" s="99" t="s">
        <v>97</v>
      </c>
      <c r="C66" s="99" t="s">
        <v>117</v>
      </c>
      <c r="D66" s="99" t="s">
        <v>121</v>
      </c>
      <c r="E66" s="99" t="s">
        <v>1096</v>
      </c>
      <c r="F66" s="99" t="s">
        <v>1031</v>
      </c>
      <c r="G66" s="99" t="s">
        <v>873</v>
      </c>
      <c r="H66" s="97" t="s">
        <v>890</v>
      </c>
      <c r="I66" s="99" t="s">
        <v>984</v>
      </c>
      <c r="J66" s="99" t="s">
        <v>17</v>
      </c>
      <c r="K66" s="100" t="s">
        <v>8</v>
      </c>
    </row>
    <row r="67" spans="1:11" ht="28.8">
      <c r="A67" s="92">
        <f>_xlfn.XLOOKUP(B67,' Lista de Entrevistas'!B:B,' Lista de Entrevistas'!A:A,"")</f>
        <v>8</v>
      </c>
      <c r="B67" s="97" t="s">
        <v>97</v>
      </c>
      <c r="C67" s="97" t="s">
        <v>117</v>
      </c>
      <c r="D67" s="97" t="s">
        <v>121</v>
      </c>
      <c r="E67" s="97" t="s">
        <v>1096</v>
      </c>
      <c r="F67" s="97" t="s">
        <v>1031</v>
      </c>
      <c r="G67" s="97" t="s">
        <v>873</v>
      </c>
      <c r="H67" s="97" t="s">
        <v>890</v>
      </c>
      <c r="I67" s="97" t="s">
        <v>986</v>
      </c>
      <c r="J67" s="97" t="s">
        <v>17</v>
      </c>
      <c r="K67" s="98" t="s">
        <v>8</v>
      </c>
    </row>
    <row r="68" spans="1:11" ht="28.8">
      <c r="A68" s="94">
        <f>_xlfn.XLOOKUP(B68,' Lista de Entrevistas'!B:B,' Lista de Entrevistas'!A:A,"")</f>
        <v>8</v>
      </c>
      <c r="B68" s="99" t="s">
        <v>97</v>
      </c>
      <c r="C68" s="99" t="s">
        <v>117</v>
      </c>
      <c r="D68" s="99" t="s">
        <v>121</v>
      </c>
      <c r="E68" s="99" t="s">
        <v>1097</v>
      </c>
      <c r="F68" s="99" t="s">
        <v>1074</v>
      </c>
      <c r="G68" s="99" t="s">
        <v>876</v>
      </c>
      <c r="H68" s="97" t="s">
        <v>890</v>
      </c>
      <c r="I68" s="99" t="s">
        <v>990</v>
      </c>
      <c r="J68" s="99" t="s">
        <v>17</v>
      </c>
      <c r="K68" s="100" t="s">
        <v>8</v>
      </c>
    </row>
    <row r="69" spans="1:11" ht="28.8">
      <c r="A69" s="92">
        <f>_xlfn.XLOOKUP(B69,' Lista de Entrevistas'!B:B,' Lista de Entrevistas'!A:A,"")</f>
        <v>8</v>
      </c>
      <c r="B69" s="97" t="s">
        <v>97</v>
      </c>
      <c r="C69" s="97" t="s">
        <v>117</v>
      </c>
      <c r="D69" s="97" t="s">
        <v>121</v>
      </c>
      <c r="E69" s="97" t="s">
        <v>1097</v>
      </c>
      <c r="F69" s="97" t="s">
        <v>1074</v>
      </c>
      <c r="G69" s="97" t="s">
        <v>876</v>
      </c>
      <c r="H69" s="97" t="s">
        <v>890</v>
      </c>
      <c r="I69" s="97" t="s">
        <v>986</v>
      </c>
      <c r="J69" s="97" t="s">
        <v>17</v>
      </c>
      <c r="K69" s="98" t="s">
        <v>8</v>
      </c>
    </row>
    <row r="70" spans="1:11" ht="28.8">
      <c r="A70" s="94">
        <f>_xlfn.XLOOKUP(B70,' Lista de Entrevistas'!B:B,' Lista de Entrevistas'!A:A,"")</f>
        <v>8</v>
      </c>
      <c r="B70" s="99" t="s">
        <v>97</v>
      </c>
      <c r="C70" s="99" t="s">
        <v>117</v>
      </c>
      <c r="D70" s="99" t="s">
        <v>121</v>
      </c>
      <c r="E70" s="99" t="s">
        <v>1098</v>
      </c>
      <c r="F70" s="99" t="s">
        <v>1099</v>
      </c>
      <c r="G70" s="99" t="s">
        <v>876</v>
      </c>
      <c r="H70" s="97" t="s">
        <v>890</v>
      </c>
      <c r="I70" s="99" t="s">
        <v>978</v>
      </c>
      <c r="J70" s="99" t="s">
        <v>17</v>
      </c>
      <c r="K70" s="100" t="s">
        <v>13</v>
      </c>
    </row>
    <row r="71" spans="1:11" ht="28.8">
      <c r="A71" s="92">
        <f>_xlfn.XLOOKUP(B71,' Lista de Entrevistas'!B:B,' Lista de Entrevistas'!A:A,"")</f>
        <v>8</v>
      </c>
      <c r="B71" s="97" t="s">
        <v>97</v>
      </c>
      <c r="C71" s="97" t="s">
        <v>117</v>
      </c>
      <c r="D71" s="97" t="s">
        <v>121</v>
      </c>
      <c r="E71" s="97" t="s">
        <v>1098</v>
      </c>
      <c r="F71" s="97" t="s">
        <v>1099</v>
      </c>
      <c r="G71" s="97" t="s">
        <v>876</v>
      </c>
      <c r="H71" s="97" t="s">
        <v>890</v>
      </c>
      <c r="I71" s="97" t="s">
        <v>986</v>
      </c>
      <c r="J71" s="97" t="s">
        <v>17</v>
      </c>
      <c r="K71" s="98" t="s">
        <v>13</v>
      </c>
    </row>
    <row r="72" spans="1:11" ht="28.8">
      <c r="A72" s="94">
        <f>_xlfn.XLOOKUP(B72,' Lista de Entrevistas'!B:B,' Lista de Entrevistas'!A:A,"")</f>
        <v>9</v>
      </c>
      <c r="B72" s="99" t="s">
        <v>99</v>
      </c>
      <c r="C72" s="99" t="s">
        <v>1072</v>
      </c>
      <c r="D72" s="99" t="s">
        <v>121</v>
      </c>
      <c r="E72" s="99" t="s">
        <v>1073</v>
      </c>
      <c r="F72" s="99" t="s">
        <v>1074</v>
      </c>
      <c r="G72" s="99" t="s">
        <v>876</v>
      </c>
      <c r="H72" s="97" t="s">
        <v>890</v>
      </c>
      <c r="I72" s="99" t="s">
        <v>978</v>
      </c>
      <c r="J72" s="99" t="s">
        <v>17</v>
      </c>
      <c r="K72" s="100" t="s">
        <v>8</v>
      </c>
    </row>
    <row r="73" spans="1:11" ht="28.8">
      <c r="A73" s="92">
        <f>_xlfn.XLOOKUP(B73,' Lista de Entrevistas'!B:B,' Lista de Entrevistas'!A:A,"")</f>
        <v>9</v>
      </c>
      <c r="B73" s="97" t="s">
        <v>99</v>
      </c>
      <c r="C73" s="97" t="s">
        <v>1072</v>
      </c>
      <c r="D73" s="97" t="s">
        <v>121</v>
      </c>
      <c r="E73" s="97" t="s">
        <v>1073</v>
      </c>
      <c r="F73" s="97" t="s">
        <v>1074</v>
      </c>
      <c r="G73" s="97" t="s">
        <v>876</v>
      </c>
      <c r="H73" s="97" t="s">
        <v>890</v>
      </c>
      <c r="I73" s="97" t="s">
        <v>990</v>
      </c>
      <c r="J73" s="97" t="s">
        <v>17</v>
      </c>
      <c r="K73" s="98" t="s">
        <v>8</v>
      </c>
    </row>
    <row r="74" spans="1:11" ht="28.8">
      <c r="A74" s="94">
        <f>_xlfn.XLOOKUP(B74,' Lista de Entrevistas'!B:B,' Lista de Entrevistas'!A:A,"")</f>
        <v>9</v>
      </c>
      <c r="B74" s="99" t="s">
        <v>99</v>
      </c>
      <c r="C74" s="99" t="s">
        <v>1072</v>
      </c>
      <c r="D74" s="99" t="s">
        <v>121</v>
      </c>
      <c r="E74" s="99" t="s">
        <v>1075</v>
      </c>
      <c r="F74" s="99" t="s">
        <v>1076</v>
      </c>
      <c r="G74" s="99" t="s">
        <v>895</v>
      </c>
      <c r="H74" s="99" t="s">
        <v>854</v>
      </c>
      <c r="I74" s="99" t="s">
        <v>978</v>
      </c>
      <c r="J74" s="99" t="s">
        <v>12</v>
      </c>
      <c r="K74" s="100" t="s">
        <v>13</v>
      </c>
    </row>
    <row r="75" spans="1:11" ht="28.8">
      <c r="A75" s="92">
        <f>_xlfn.XLOOKUP(B75,' Lista de Entrevistas'!B:B,' Lista de Entrevistas'!A:A,"")</f>
        <v>9</v>
      </c>
      <c r="B75" s="97" t="s">
        <v>99</v>
      </c>
      <c r="C75" s="97" t="s">
        <v>1072</v>
      </c>
      <c r="D75" s="97" t="s">
        <v>121</v>
      </c>
      <c r="E75" s="97" t="s">
        <v>1075</v>
      </c>
      <c r="F75" s="97" t="s">
        <v>1076</v>
      </c>
      <c r="G75" s="97" t="s">
        <v>895</v>
      </c>
      <c r="H75" s="97" t="s">
        <v>854</v>
      </c>
      <c r="I75" s="97" t="s">
        <v>988</v>
      </c>
      <c r="J75" s="97" t="s">
        <v>12</v>
      </c>
      <c r="K75" s="98" t="s">
        <v>13</v>
      </c>
    </row>
    <row r="76" spans="1:11" ht="28.8">
      <c r="A76" s="94">
        <f>_xlfn.XLOOKUP(B76,' Lista de Entrevistas'!B:B,' Lista de Entrevistas'!A:A,"")</f>
        <v>9</v>
      </c>
      <c r="B76" s="99" t="s">
        <v>99</v>
      </c>
      <c r="C76" s="99" t="s">
        <v>1072</v>
      </c>
      <c r="D76" s="99" t="s">
        <v>121</v>
      </c>
      <c r="E76" s="99" t="s">
        <v>1077</v>
      </c>
      <c r="F76" s="99" t="s">
        <v>1078</v>
      </c>
      <c r="G76" s="99" t="s">
        <v>824</v>
      </c>
      <c r="H76" s="99" t="s">
        <v>853</v>
      </c>
      <c r="I76" s="99" t="s">
        <v>978</v>
      </c>
      <c r="J76" s="99" t="s">
        <v>12</v>
      </c>
      <c r="K76" s="100" t="s">
        <v>13</v>
      </c>
    </row>
    <row r="77" spans="1:11" ht="28.8">
      <c r="A77" s="92">
        <f>_xlfn.XLOOKUP(B77,' Lista de Entrevistas'!B:B,' Lista de Entrevistas'!A:A,"")</f>
        <v>9</v>
      </c>
      <c r="B77" s="97" t="s">
        <v>99</v>
      </c>
      <c r="C77" s="97" t="s">
        <v>1072</v>
      </c>
      <c r="D77" s="97" t="s">
        <v>121</v>
      </c>
      <c r="E77" s="97" t="s">
        <v>1077</v>
      </c>
      <c r="F77" s="97" t="s">
        <v>1078</v>
      </c>
      <c r="G77" s="97" t="s">
        <v>824</v>
      </c>
      <c r="H77" s="97" t="s">
        <v>853</v>
      </c>
      <c r="I77" s="97" t="s">
        <v>992</v>
      </c>
      <c r="J77" s="97" t="s">
        <v>12</v>
      </c>
      <c r="K77" s="98" t="s">
        <v>13</v>
      </c>
    </row>
    <row r="78" spans="1:11" ht="28.8">
      <c r="A78" s="94">
        <f>_xlfn.XLOOKUP(B78,' Lista de Entrevistas'!B:B,' Lista de Entrevistas'!A:A,"")</f>
        <v>10</v>
      </c>
      <c r="B78" s="99" t="s">
        <v>101</v>
      </c>
      <c r="C78" s="99" t="s">
        <v>1111</v>
      </c>
      <c r="D78" s="99" t="s">
        <v>121</v>
      </c>
      <c r="E78" s="99" t="s">
        <v>1112</v>
      </c>
      <c r="F78" s="99" t="s">
        <v>1113</v>
      </c>
      <c r="G78" s="99" t="s">
        <v>862</v>
      </c>
      <c r="H78" s="99" t="s">
        <v>854</v>
      </c>
      <c r="I78" s="99" t="s">
        <v>994</v>
      </c>
      <c r="J78" s="99" t="s">
        <v>17</v>
      </c>
      <c r="K78" s="100" t="s">
        <v>8</v>
      </c>
    </row>
    <row r="79" spans="1:11" ht="28.8">
      <c r="A79" s="92">
        <f>_xlfn.XLOOKUP(B79,' Lista de Entrevistas'!B:B,' Lista de Entrevistas'!A:A,"")</f>
        <v>10</v>
      </c>
      <c r="B79" s="97" t="s">
        <v>101</v>
      </c>
      <c r="C79" s="97" t="s">
        <v>1111</v>
      </c>
      <c r="D79" s="97" t="s">
        <v>121</v>
      </c>
      <c r="E79" s="97" t="s">
        <v>1112</v>
      </c>
      <c r="F79" s="97" t="s">
        <v>1113</v>
      </c>
      <c r="G79" s="97" t="s">
        <v>862</v>
      </c>
      <c r="H79" s="97" t="s">
        <v>854</v>
      </c>
      <c r="I79" s="97" t="s">
        <v>986</v>
      </c>
      <c r="J79" s="97" t="s">
        <v>17</v>
      </c>
      <c r="K79" s="98" t="s">
        <v>8</v>
      </c>
    </row>
    <row r="80" spans="1:11" ht="28.8">
      <c r="A80" s="94">
        <f>_xlfn.XLOOKUP(B80,' Lista de Entrevistas'!B:B,' Lista de Entrevistas'!A:A,"")</f>
        <v>10</v>
      </c>
      <c r="B80" s="99" t="s">
        <v>101</v>
      </c>
      <c r="C80" s="99" t="s">
        <v>1111</v>
      </c>
      <c r="D80" s="99" t="s">
        <v>121</v>
      </c>
      <c r="E80" s="99" t="s">
        <v>1114</v>
      </c>
      <c r="F80" s="99" t="s">
        <v>1017</v>
      </c>
      <c r="G80" s="99" t="s">
        <v>862</v>
      </c>
      <c r="H80" s="99" t="s">
        <v>854</v>
      </c>
      <c r="I80" s="99" t="s">
        <v>994</v>
      </c>
      <c r="J80" s="99" t="s">
        <v>17</v>
      </c>
      <c r="K80" s="100" t="s">
        <v>8</v>
      </c>
    </row>
    <row r="81" spans="1:11" ht="28.8">
      <c r="A81" s="92">
        <f>_xlfn.XLOOKUP(B81,' Lista de Entrevistas'!B:B,' Lista de Entrevistas'!A:A,"")</f>
        <v>10</v>
      </c>
      <c r="B81" s="97" t="s">
        <v>101</v>
      </c>
      <c r="C81" s="97" t="s">
        <v>1111</v>
      </c>
      <c r="D81" s="97" t="s">
        <v>121</v>
      </c>
      <c r="E81" s="97" t="s">
        <v>1114</v>
      </c>
      <c r="F81" s="97" t="s">
        <v>1017</v>
      </c>
      <c r="G81" s="97" t="s">
        <v>862</v>
      </c>
      <c r="H81" s="97" t="s">
        <v>854</v>
      </c>
      <c r="I81" s="97" t="s">
        <v>986</v>
      </c>
      <c r="J81" s="97" t="s">
        <v>17</v>
      </c>
      <c r="K81" s="98" t="s">
        <v>8</v>
      </c>
    </row>
    <row r="82" spans="1:11" ht="28.8">
      <c r="A82" s="94">
        <f>_xlfn.XLOOKUP(B82,' Lista de Entrevistas'!B:B,' Lista de Entrevistas'!A:A,"")</f>
        <v>10</v>
      </c>
      <c r="B82" s="99" t="s">
        <v>101</v>
      </c>
      <c r="C82" s="99" t="s">
        <v>1111</v>
      </c>
      <c r="D82" s="99" t="s">
        <v>121</v>
      </c>
      <c r="E82" s="99" t="s">
        <v>1115</v>
      </c>
      <c r="F82" s="99" t="s">
        <v>1019</v>
      </c>
      <c r="G82" s="99" t="s">
        <v>877</v>
      </c>
      <c r="H82" s="99" t="s">
        <v>850</v>
      </c>
      <c r="I82" s="99" t="s">
        <v>984</v>
      </c>
      <c r="J82" s="99" t="s">
        <v>21</v>
      </c>
      <c r="K82" s="100" t="s">
        <v>8</v>
      </c>
    </row>
    <row r="83" spans="1:11" ht="28.8">
      <c r="A83" s="92">
        <f>_xlfn.XLOOKUP(B83,' Lista de Entrevistas'!B:B,' Lista de Entrevistas'!A:A,"")</f>
        <v>10</v>
      </c>
      <c r="B83" s="97" t="s">
        <v>101</v>
      </c>
      <c r="C83" s="97" t="s">
        <v>1111</v>
      </c>
      <c r="D83" s="97" t="s">
        <v>121</v>
      </c>
      <c r="E83" s="97" t="s">
        <v>1115</v>
      </c>
      <c r="F83" s="97" t="s">
        <v>1019</v>
      </c>
      <c r="G83" s="97" t="s">
        <v>877</v>
      </c>
      <c r="H83" s="97" t="s">
        <v>850</v>
      </c>
      <c r="I83" s="97" t="s">
        <v>982</v>
      </c>
      <c r="J83" s="97" t="s">
        <v>21</v>
      </c>
      <c r="K83" s="98" t="s">
        <v>8</v>
      </c>
    </row>
    <row r="84" spans="1:11" ht="28.8">
      <c r="A84" s="94">
        <f>_xlfn.XLOOKUP(B84,' Lista de Entrevistas'!B:B,' Lista de Entrevistas'!A:A,"")</f>
        <v>10</v>
      </c>
      <c r="B84" s="99" t="s">
        <v>101</v>
      </c>
      <c r="C84" s="99" t="s">
        <v>1111</v>
      </c>
      <c r="D84" s="99" t="s">
        <v>121</v>
      </c>
      <c r="E84" s="99" t="s">
        <v>1116</v>
      </c>
      <c r="F84" s="99" t="s">
        <v>1052</v>
      </c>
      <c r="G84" s="99" t="s">
        <v>885</v>
      </c>
      <c r="H84" s="99" t="s">
        <v>28</v>
      </c>
      <c r="I84" s="99" t="s">
        <v>994</v>
      </c>
      <c r="J84" s="99" t="s">
        <v>21</v>
      </c>
      <c r="K84" s="100" t="s">
        <v>8</v>
      </c>
    </row>
    <row r="85" spans="1:11" ht="28.8">
      <c r="A85" s="92">
        <f>_xlfn.XLOOKUP(B85,' Lista de Entrevistas'!B:B,' Lista de Entrevistas'!A:A,"")</f>
        <v>10</v>
      </c>
      <c r="B85" s="97" t="s">
        <v>101</v>
      </c>
      <c r="C85" s="97" t="s">
        <v>1111</v>
      </c>
      <c r="D85" s="97" t="s">
        <v>121</v>
      </c>
      <c r="E85" s="97" t="s">
        <v>1116</v>
      </c>
      <c r="F85" s="97" t="s">
        <v>1052</v>
      </c>
      <c r="G85" s="97" t="s">
        <v>885</v>
      </c>
      <c r="H85" s="97" t="s">
        <v>28</v>
      </c>
      <c r="I85" s="97" t="s">
        <v>986</v>
      </c>
      <c r="J85" s="97" t="s">
        <v>21</v>
      </c>
      <c r="K85" s="98" t="s">
        <v>8</v>
      </c>
    </row>
    <row r="86" spans="1:11" ht="28.8">
      <c r="A86" s="94">
        <f>_xlfn.XLOOKUP(B86,' Lista de Entrevistas'!B:B,' Lista de Entrevistas'!A:A,"")</f>
        <v>11</v>
      </c>
      <c r="B86" s="99" t="s">
        <v>103</v>
      </c>
      <c r="C86" s="99" t="s">
        <v>76</v>
      </c>
      <c r="D86" s="99" t="s">
        <v>121</v>
      </c>
      <c r="E86" s="99" t="s">
        <v>1117</v>
      </c>
      <c r="F86" s="99" t="s">
        <v>1029</v>
      </c>
      <c r="G86" s="99" t="s">
        <v>859</v>
      </c>
      <c r="H86" s="99" t="s">
        <v>854</v>
      </c>
      <c r="I86" s="99" t="s">
        <v>982</v>
      </c>
      <c r="J86" s="99" t="s">
        <v>17</v>
      </c>
      <c r="K86" s="100" t="s">
        <v>8</v>
      </c>
    </row>
    <row r="87" spans="1:11" ht="28.8">
      <c r="A87" s="92">
        <f>_xlfn.XLOOKUP(B87,' Lista de Entrevistas'!B:B,' Lista de Entrevistas'!A:A,"")</f>
        <v>11</v>
      </c>
      <c r="B87" s="99" t="s">
        <v>103</v>
      </c>
      <c r="C87" s="97" t="s">
        <v>76</v>
      </c>
      <c r="D87" s="97" t="s">
        <v>121</v>
      </c>
      <c r="E87" s="97" t="s">
        <v>1117</v>
      </c>
      <c r="F87" s="97" t="s">
        <v>1029</v>
      </c>
      <c r="G87" s="97" t="s">
        <v>859</v>
      </c>
      <c r="H87" s="97" t="s">
        <v>854</v>
      </c>
      <c r="I87" s="97" t="s">
        <v>984</v>
      </c>
      <c r="J87" s="97" t="s">
        <v>17</v>
      </c>
      <c r="K87" s="98" t="s">
        <v>8</v>
      </c>
    </row>
    <row r="88" spans="1:11" ht="28.8">
      <c r="A88" s="94">
        <f>_xlfn.XLOOKUP(B88,' Lista de Entrevistas'!B:B,' Lista de Entrevistas'!A:A,"")</f>
        <v>11</v>
      </c>
      <c r="B88" s="99" t="s">
        <v>103</v>
      </c>
      <c r="C88" s="99" t="s">
        <v>76</v>
      </c>
      <c r="D88" s="99" t="s">
        <v>121</v>
      </c>
      <c r="E88" s="99" t="s">
        <v>1118</v>
      </c>
      <c r="F88" s="99" t="s">
        <v>1023</v>
      </c>
      <c r="G88" s="99" t="s">
        <v>824</v>
      </c>
      <c r="H88" s="99" t="s">
        <v>853</v>
      </c>
      <c r="I88" s="99" t="s">
        <v>992</v>
      </c>
      <c r="J88" s="99" t="s">
        <v>12</v>
      </c>
      <c r="K88" s="100" t="s">
        <v>8</v>
      </c>
    </row>
    <row r="89" spans="1:11" ht="28.8">
      <c r="A89" s="92">
        <f>_xlfn.XLOOKUP(B89,' Lista de Entrevistas'!B:B,' Lista de Entrevistas'!A:A,"")</f>
        <v>11</v>
      </c>
      <c r="B89" s="99" t="s">
        <v>103</v>
      </c>
      <c r="C89" s="97" t="s">
        <v>76</v>
      </c>
      <c r="D89" s="97" t="s">
        <v>121</v>
      </c>
      <c r="E89" s="97" t="s">
        <v>1118</v>
      </c>
      <c r="F89" s="97" t="s">
        <v>1023</v>
      </c>
      <c r="G89" s="97" t="s">
        <v>824</v>
      </c>
      <c r="H89" s="97" t="s">
        <v>853</v>
      </c>
      <c r="I89" s="97" t="s">
        <v>988</v>
      </c>
      <c r="J89" s="97" t="s">
        <v>12</v>
      </c>
      <c r="K89" s="98" t="s">
        <v>8</v>
      </c>
    </row>
    <row r="90" spans="1:11" ht="28.8">
      <c r="A90" s="94">
        <f>_xlfn.XLOOKUP(B90,' Lista de Entrevistas'!B:B,' Lista de Entrevistas'!A:A,"")</f>
        <v>11</v>
      </c>
      <c r="B90" s="99" t="s">
        <v>103</v>
      </c>
      <c r="C90" s="99" t="s">
        <v>76</v>
      </c>
      <c r="D90" s="99" t="s">
        <v>121</v>
      </c>
      <c r="E90" s="99" t="s">
        <v>1119</v>
      </c>
      <c r="F90" s="99" t="s">
        <v>1120</v>
      </c>
      <c r="G90" s="99" t="s">
        <v>893</v>
      </c>
      <c r="H90" s="99" t="s">
        <v>853</v>
      </c>
      <c r="I90" s="99" t="s">
        <v>980</v>
      </c>
      <c r="J90" s="99" t="s">
        <v>17</v>
      </c>
      <c r="K90" s="100" t="s">
        <v>8</v>
      </c>
    </row>
    <row r="91" spans="1:11" ht="28.8">
      <c r="A91" s="92">
        <f>_xlfn.XLOOKUP(B91,' Lista de Entrevistas'!B:B,' Lista de Entrevistas'!A:A,"")</f>
        <v>11</v>
      </c>
      <c r="B91" s="99" t="s">
        <v>103</v>
      </c>
      <c r="C91" s="97" t="s">
        <v>76</v>
      </c>
      <c r="D91" s="97" t="s">
        <v>121</v>
      </c>
      <c r="E91" s="97" t="s">
        <v>1119</v>
      </c>
      <c r="F91" s="97" t="s">
        <v>1120</v>
      </c>
      <c r="G91" s="97" t="s">
        <v>893</v>
      </c>
      <c r="H91" s="97" t="s">
        <v>853</v>
      </c>
      <c r="I91" s="97" t="s">
        <v>992</v>
      </c>
      <c r="J91" s="97" t="s">
        <v>17</v>
      </c>
      <c r="K91" s="98" t="s">
        <v>8</v>
      </c>
    </row>
    <row r="92" spans="1:11" ht="28.8">
      <c r="A92" s="94">
        <f>_xlfn.XLOOKUP(B92,' Lista de Entrevistas'!B:B,' Lista de Entrevistas'!A:A,"")</f>
        <v>11</v>
      </c>
      <c r="B92" s="99" t="s">
        <v>103</v>
      </c>
      <c r="C92" s="99" t="s">
        <v>76</v>
      </c>
      <c r="D92" s="99" t="s">
        <v>121</v>
      </c>
      <c r="E92" s="99" t="s">
        <v>1121</v>
      </c>
      <c r="F92" s="99" t="s">
        <v>1074</v>
      </c>
      <c r="G92" s="99" t="s">
        <v>876</v>
      </c>
      <c r="H92" s="97" t="s">
        <v>890</v>
      </c>
      <c r="I92" s="99" t="s">
        <v>990</v>
      </c>
      <c r="J92" s="99" t="s">
        <v>17</v>
      </c>
      <c r="K92" s="100" t="s">
        <v>8</v>
      </c>
    </row>
    <row r="93" spans="1:11" ht="28.8">
      <c r="A93" s="92">
        <f>_xlfn.XLOOKUP(B93,' Lista de Entrevistas'!B:B,' Lista de Entrevistas'!A:A,"")</f>
        <v>11</v>
      </c>
      <c r="B93" s="99" t="s">
        <v>103</v>
      </c>
      <c r="C93" s="97" t="s">
        <v>76</v>
      </c>
      <c r="D93" s="97" t="s">
        <v>121</v>
      </c>
      <c r="E93" s="97" t="s">
        <v>1121</v>
      </c>
      <c r="F93" s="97" t="s">
        <v>1074</v>
      </c>
      <c r="G93" s="97" t="s">
        <v>876</v>
      </c>
      <c r="H93" s="97" t="s">
        <v>890</v>
      </c>
      <c r="I93" s="97" t="s">
        <v>980</v>
      </c>
      <c r="J93" s="97" t="s">
        <v>17</v>
      </c>
      <c r="K93" s="98" t="s">
        <v>8</v>
      </c>
    </row>
    <row r="94" spans="1:11" ht="28.8">
      <c r="A94" s="94">
        <f>_xlfn.XLOOKUP(B94,' Lista de Entrevistas'!B:B,' Lista de Entrevistas'!A:A,"")</f>
        <v>11</v>
      </c>
      <c r="B94" s="99" t="s">
        <v>103</v>
      </c>
      <c r="C94" s="99" t="s">
        <v>76</v>
      </c>
      <c r="D94" s="99" t="s">
        <v>121</v>
      </c>
      <c r="E94" s="99" t="s">
        <v>1122</v>
      </c>
      <c r="F94" s="99" t="s">
        <v>1052</v>
      </c>
      <c r="G94" s="99" t="s">
        <v>885</v>
      </c>
      <c r="H94" s="99" t="s">
        <v>28</v>
      </c>
      <c r="I94" s="99" t="s">
        <v>994</v>
      </c>
      <c r="J94" s="99" t="s">
        <v>21</v>
      </c>
      <c r="K94" s="100" t="s">
        <v>8</v>
      </c>
    </row>
    <row r="95" spans="1:11" ht="28.8">
      <c r="A95" s="92">
        <f>_xlfn.XLOOKUP(B95,' Lista de Entrevistas'!B:B,' Lista de Entrevistas'!A:A,"")</f>
        <v>11</v>
      </c>
      <c r="B95" s="99" t="s">
        <v>103</v>
      </c>
      <c r="C95" s="97" t="s">
        <v>76</v>
      </c>
      <c r="D95" s="97" t="s">
        <v>121</v>
      </c>
      <c r="E95" s="97" t="s">
        <v>1122</v>
      </c>
      <c r="F95" s="97" t="s">
        <v>1052</v>
      </c>
      <c r="G95" s="97" t="s">
        <v>885</v>
      </c>
      <c r="H95" s="97" t="s">
        <v>28</v>
      </c>
      <c r="I95" s="97" t="s">
        <v>986</v>
      </c>
      <c r="J95" s="97" t="s">
        <v>21</v>
      </c>
      <c r="K95" s="98" t="s">
        <v>8</v>
      </c>
    </row>
    <row r="96" spans="1:11" ht="28.8">
      <c r="A96" s="94">
        <f>_xlfn.XLOOKUP(B96,' Lista de Entrevistas'!B:B,' Lista de Entrevistas'!A:A,"")</f>
        <v>11</v>
      </c>
      <c r="B96" s="99" t="s">
        <v>103</v>
      </c>
      <c r="C96" s="99" t="s">
        <v>76</v>
      </c>
      <c r="D96" s="99" t="s">
        <v>121</v>
      </c>
      <c r="E96" s="99" t="s">
        <v>1123</v>
      </c>
      <c r="F96" s="99" t="s">
        <v>1124</v>
      </c>
      <c r="G96" s="99" t="s">
        <v>872</v>
      </c>
      <c r="H96" s="97" t="s">
        <v>890</v>
      </c>
      <c r="I96" s="99" t="s">
        <v>984</v>
      </c>
      <c r="J96" s="99" t="s">
        <v>21</v>
      </c>
      <c r="K96" s="100" t="s">
        <v>13</v>
      </c>
    </row>
    <row r="97" spans="1:11" ht="28.8">
      <c r="A97" s="92">
        <f>_xlfn.XLOOKUP(B97,' Lista de Entrevistas'!B:B,' Lista de Entrevistas'!A:A,"")</f>
        <v>11</v>
      </c>
      <c r="B97" s="99" t="s">
        <v>103</v>
      </c>
      <c r="C97" s="97" t="s">
        <v>76</v>
      </c>
      <c r="D97" s="97" t="s">
        <v>121</v>
      </c>
      <c r="E97" s="97" t="s">
        <v>1123</v>
      </c>
      <c r="F97" s="97" t="s">
        <v>1124</v>
      </c>
      <c r="G97" s="97" t="s">
        <v>872</v>
      </c>
      <c r="H97" s="97" t="s">
        <v>890</v>
      </c>
      <c r="I97" s="97" t="s">
        <v>986</v>
      </c>
      <c r="J97" s="97" t="s">
        <v>21</v>
      </c>
      <c r="K97" s="98" t="s">
        <v>13</v>
      </c>
    </row>
    <row r="98" spans="1:11" ht="28.8">
      <c r="A98" s="94">
        <f>_xlfn.XLOOKUP(B98,' Lista de Entrevistas'!B:B,' Lista de Entrevistas'!A:A,"")</f>
        <v>12</v>
      </c>
      <c r="B98" s="99" t="s">
        <v>106</v>
      </c>
      <c r="C98" s="99" t="s">
        <v>1032</v>
      </c>
      <c r="D98" s="99" t="s">
        <v>121</v>
      </c>
      <c r="E98" s="99" t="s">
        <v>1039</v>
      </c>
      <c r="F98" s="99" t="s">
        <v>1040</v>
      </c>
      <c r="G98" s="99" t="s">
        <v>872</v>
      </c>
      <c r="H98" s="97" t="s">
        <v>890</v>
      </c>
      <c r="I98" s="99" t="s">
        <v>984</v>
      </c>
      <c r="J98" s="99" t="s">
        <v>17</v>
      </c>
      <c r="K98" s="100" t="s">
        <v>13</v>
      </c>
    </row>
    <row r="99" spans="1:11" ht="28.8">
      <c r="A99" s="92">
        <f>_xlfn.XLOOKUP(B99,' Lista de Entrevistas'!B:B,' Lista de Entrevistas'!A:A,"")</f>
        <v>12</v>
      </c>
      <c r="B99" s="97" t="s">
        <v>106</v>
      </c>
      <c r="C99" s="97" t="s">
        <v>1032</v>
      </c>
      <c r="D99" s="97" t="s">
        <v>121</v>
      </c>
      <c r="E99" s="97" t="s">
        <v>1039</v>
      </c>
      <c r="F99" s="97" t="s">
        <v>1040</v>
      </c>
      <c r="G99" s="97" t="s">
        <v>872</v>
      </c>
      <c r="H99" s="97" t="s">
        <v>890</v>
      </c>
      <c r="I99" s="97" t="s">
        <v>986</v>
      </c>
      <c r="J99" s="97" t="s">
        <v>17</v>
      </c>
      <c r="K99" s="98" t="s">
        <v>13</v>
      </c>
    </row>
    <row r="100" spans="1:11" ht="28.8">
      <c r="A100" s="94">
        <f>_xlfn.XLOOKUP(B100,' Lista de Entrevistas'!B:B,' Lista de Entrevistas'!A:A,"")</f>
        <v>12</v>
      </c>
      <c r="B100" s="99" t="s">
        <v>106</v>
      </c>
      <c r="C100" s="99" t="s">
        <v>1032</v>
      </c>
      <c r="D100" s="99" t="s">
        <v>121</v>
      </c>
      <c r="E100" s="99" t="s">
        <v>1041</v>
      </c>
      <c r="F100" s="99" t="s">
        <v>1042</v>
      </c>
      <c r="G100" s="99" t="s">
        <v>873</v>
      </c>
      <c r="H100" s="97" t="s">
        <v>890</v>
      </c>
      <c r="I100" s="99" t="s">
        <v>984</v>
      </c>
      <c r="J100" s="99" t="s">
        <v>12</v>
      </c>
      <c r="K100" s="100" t="s">
        <v>13</v>
      </c>
    </row>
    <row r="101" spans="1:11" ht="28.8">
      <c r="A101" s="92">
        <f>_xlfn.XLOOKUP(B101,' Lista de Entrevistas'!B:B,' Lista de Entrevistas'!A:A,"")</f>
        <v>12</v>
      </c>
      <c r="B101" s="97" t="s">
        <v>106</v>
      </c>
      <c r="C101" s="97" t="s">
        <v>1032</v>
      </c>
      <c r="D101" s="97" t="s">
        <v>121</v>
      </c>
      <c r="E101" s="97" t="s">
        <v>1041</v>
      </c>
      <c r="F101" s="97" t="s">
        <v>1042</v>
      </c>
      <c r="G101" s="97" t="s">
        <v>873</v>
      </c>
      <c r="H101" s="97" t="s">
        <v>890</v>
      </c>
      <c r="I101" s="97" t="s">
        <v>978</v>
      </c>
      <c r="J101" s="97" t="s">
        <v>12</v>
      </c>
      <c r="K101" s="98" t="s">
        <v>13</v>
      </c>
    </row>
    <row r="102" spans="1:11" ht="28.8">
      <c r="A102" s="94">
        <f>_xlfn.XLOOKUP(B102,' Lista de Entrevistas'!B:B,' Lista de Entrevistas'!A:A,"")</f>
        <v>12</v>
      </c>
      <c r="B102" s="99" t="s">
        <v>106</v>
      </c>
      <c r="C102" s="99" t="s">
        <v>1032</v>
      </c>
      <c r="D102" s="99" t="s">
        <v>121</v>
      </c>
      <c r="E102" s="99" t="s">
        <v>1043</v>
      </c>
      <c r="F102" s="99" t="s">
        <v>1044</v>
      </c>
      <c r="G102" s="99" t="s">
        <v>872</v>
      </c>
      <c r="H102" s="97" t="s">
        <v>890</v>
      </c>
      <c r="I102" s="99" t="s">
        <v>992</v>
      </c>
      <c r="J102" s="99" t="s">
        <v>17</v>
      </c>
      <c r="K102" s="100" t="s">
        <v>8</v>
      </c>
    </row>
    <row r="103" spans="1:11" ht="28.8">
      <c r="A103" s="92">
        <f>_xlfn.XLOOKUP(B103,' Lista de Entrevistas'!B:B,' Lista de Entrevistas'!A:A,"")</f>
        <v>12</v>
      </c>
      <c r="B103" s="97" t="s">
        <v>106</v>
      </c>
      <c r="C103" s="97" t="s">
        <v>1032</v>
      </c>
      <c r="D103" s="97" t="s">
        <v>121</v>
      </c>
      <c r="E103" s="97" t="s">
        <v>1043</v>
      </c>
      <c r="F103" s="97" t="s">
        <v>1044</v>
      </c>
      <c r="G103" s="97" t="s">
        <v>872</v>
      </c>
      <c r="H103" s="97" t="s">
        <v>890</v>
      </c>
      <c r="I103" s="97" t="s">
        <v>984</v>
      </c>
      <c r="J103" s="97" t="s">
        <v>17</v>
      </c>
      <c r="K103" s="98" t="s">
        <v>8</v>
      </c>
    </row>
    <row r="104" spans="1:11" ht="28.8">
      <c r="A104" s="94">
        <f>_xlfn.XLOOKUP(B104,' Lista de Entrevistas'!B:B,' Lista de Entrevistas'!A:A,"")</f>
        <v>12</v>
      </c>
      <c r="B104" s="99" t="s">
        <v>106</v>
      </c>
      <c r="C104" s="99" t="s">
        <v>1032</v>
      </c>
      <c r="D104" s="99" t="s">
        <v>121</v>
      </c>
      <c r="E104" s="99" t="s">
        <v>1045</v>
      </c>
      <c r="F104" s="99" t="s">
        <v>1046</v>
      </c>
      <c r="G104" s="99" t="s">
        <v>874</v>
      </c>
      <c r="H104" s="97" t="s">
        <v>890</v>
      </c>
      <c r="I104" s="99" t="s">
        <v>978</v>
      </c>
      <c r="J104" s="99" t="s">
        <v>12</v>
      </c>
      <c r="K104" s="100" t="s">
        <v>8</v>
      </c>
    </row>
    <row r="105" spans="1:11" ht="28.8">
      <c r="A105" s="92">
        <f>_xlfn.XLOOKUP(B105,' Lista de Entrevistas'!B:B,' Lista de Entrevistas'!A:A,"")</f>
        <v>12</v>
      </c>
      <c r="B105" s="97" t="s">
        <v>106</v>
      </c>
      <c r="C105" s="97" t="s">
        <v>1032</v>
      </c>
      <c r="D105" s="97" t="s">
        <v>121</v>
      </c>
      <c r="E105" s="97" t="s">
        <v>1045</v>
      </c>
      <c r="F105" s="97" t="s">
        <v>1046</v>
      </c>
      <c r="G105" s="97" t="s">
        <v>874</v>
      </c>
      <c r="H105" s="97" t="s">
        <v>890</v>
      </c>
      <c r="I105" s="97" t="s">
        <v>986</v>
      </c>
      <c r="J105" s="97" t="s">
        <v>12</v>
      </c>
      <c r="K105" s="98" t="s">
        <v>8</v>
      </c>
    </row>
    <row r="106" spans="1:11" ht="28.8">
      <c r="A106" s="92">
        <f>_xlfn.XLOOKUP(B106,' Lista de Entrevistas'!B:B,' Lista de Entrevistas'!A:A,"")</f>
        <v>13</v>
      </c>
      <c r="B106" s="97" t="s">
        <v>1236</v>
      </c>
      <c r="C106" s="97" t="s">
        <v>117</v>
      </c>
      <c r="D106" s="97" t="s">
        <v>121</v>
      </c>
      <c r="E106" s="97" t="s">
        <v>1024</v>
      </c>
      <c r="F106" s="97" t="s">
        <v>1025</v>
      </c>
      <c r="G106" s="97" t="s">
        <v>402</v>
      </c>
      <c r="H106" s="97" t="s">
        <v>850</v>
      </c>
      <c r="I106" s="97" t="s">
        <v>980</v>
      </c>
      <c r="J106" s="97" t="s">
        <v>17</v>
      </c>
      <c r="K106" s="98" t="s">
        <v>13</v>
      </c>
    </row>
    <row r="107" spans="1:11" ht="28.8">
      <c r="A107" s="94">
        <f>_xlfn.XLOOKUP(B107,' Lista de Entrevistas'!B:B,' Lista de Entrevistas'!A:A,"")</f>
        <v>13</v>
      </c>
      <c r="B107" s="97" t="s">
        <v>1236</v>
      </c>
      <c r="C107" s="99" t="s">
        <v>117</v>
      </c>
      <c r="D107" s="99" t="s">
        <v>121</v>
      </c>
      <c r="E107" s="99" t="s">
        <v>1024</v>
      </c>
      <c r="F107" s="99" t="s">
        <v>1080</v>
      </c>
      <c r="G107" s="99" t="s">
        <v>402</v>
      </c>
      <c r="H107" s="99" t="s">
        <v>850</v>
      </c>
      <c r="I107" s="99" t="s">
        <v>982</v>
      </c>
      <c r="J107" s="99" t="s">
        <v>17</v>
      </c>
      <c r="K107" s="100" t="s">
        <v>13</v>
      </c>
    </row>
    <row r="108" spans="1:11" ht="28.8">
      <c r="A108" s="92">
        <f>_xlfn.XLOOKUP(B108,' Lista de Entrevistas'!B:B,' Lista de Entrevistas'!A:A,"")</f>
        <v>13</v>
      </c>
      <c r="B108" s="97" t="s">
        <v>1236</v>
      </c>
      <c r="C108" s="97" t="s">
        <v>117</v>
      </c>
      <c r="D108" s="97" t="s">
        <v>121</v>
      </c>
      <c r="E108" s="97" t="s">
        <v>1026</v>
      </c>
      <c r="F108" s="97" t="s">
        <v>1027</v>
      </c>
      <c r="G108" s="97" t="s">
        <v>402</v>
      </c>
      <c r="H108" s="97" t="s">
        <v>850</v>
      </c>
      <c r="I108" s="97" t="s">
        <v>990</v>
      </c>
      <c r="J108" s="97" t="s">
        <v>12</v>
      </c>
      <c r="K108" s="98" t="s">
        <v>13</v>
      </c>
    </row>
    <row r="109" spans="1:11" ht="28.8">
      <c r="A109" s="94">
        <f>_xlfn.XLOOKUP(B109,' Lista de Entrevistas'!B:B,' Lista de Entrevistas'!A:A,"")</f>
        <v>13</v>
      </c>
      <c r="B109" s="97" t="s">
        <v>1236</v>
      </c>
      <c r="C109" s="99" t="s">
        <v>117</v>
      </c>
      <c r="D109" s="99" t="s">
        <v>121</v>
      </c>
      <c r="E109" s="99" t="s">
        <v>1026</v>
      </c>
      <c r="F109" s="99" t="s">
        <v>1027</v>
      </c>
      <c r="G109" s="99" t="s">
        <v>402</v>
      </c>
      <c r="H109" s="99" t="s">
        <v>850</v>
      </c>
      <c r="I109" s="99" t="s">
        <v>982</v>
      </c>
      <c r="J109" s="99" t="s">
        <v>12</v>
      </c>
      <c r="K109" s="100" t="s">
        <v>13</v>
      </c>
    </row>
    <row r="110" spans="1:11" ht="28.8">
      <c r="A110" s="92">
        <f>_xlfn.XLOOKUP(B110,' Lista de Entrevistas'!B:B,' Lista de Entrevistas'!A:A,"")</f>
        <v>13</v>
      </c>
      <c r="B110" s="97" t="s">
        <v>1236</v>
      </c>
      <c r="C110" s="97" t="s">
        <v>117</v>
      </c>
      <c r="D110" s="97" t="s">
        <v>121</v>
      </c>
      <c r="E110" s="97" t="s">
        <v>1028</v>
      </c>
      <c r="F110" s="97" t="s">
        <v>1029</v>
      </c>
      <c r="G110" s="97" t="s">
        <v>859</v>
      </c>
      <c r="H110" s="97" t="s">
        <v>854</v>
      </c>
      <c r="I110" s="97" t="s">
        <v>982</v>
      </c>
      <c r="J110" s="97" t="s">
        <v>17</v>
      </c>
      <c r="K110" s="98" t="s">
        <v>8</v>
      </c>
    </row>
    <row r="111" spans="1:11" ht="28.8">
      <c r="A111" s="94">
        <f>_xlfn.XLOOKUP(B111,' Lista de Entrevistas'!B:B,' Lista de Entrevistas'!A:A,"")</f>
        <v>13</v>
      </c>
      <c r="B111" s="97" t="s">
        <v>1236</v>
      </c>
      <c r="C111" s="99" t="s">
        <v>117</v>
      </c>
      <c r="D111" s="99" t="s">
        <v>121</v>
      </c>
      <c r="E111" s="99" t="s">
        <v>1028</v>
      </c>
      <c r="F111" s="99" t="s">
        <v>1029</v>
      </c>
      <c r="G111" s="99" t="s">
        <v>859</v>
      </c>
      <c r="H111" s="99" t="s">
        <v>854</v>
      </c>
      <c r="I111" s="99" t="s">
        <v>984</v>
      </c>
      <c r="J111" s="99" t="s">
        <v>17</v>
      </c>
      <c r="K111" s="100" t="s">
        <v>8</v>
      </c>
    </row>
    <row r="112" spans="1:11" ht="28.8">
      <c r="A112" s="92">
        <f>_xlfn.XLOOKUP(B112,' Lista de Entrevistas'!B:B,' Lista de Entrevistas'!A:A,"")</f>
        <v>13</v>
      </c>
      <c r="B112" s="97" t="s">
        <v>1236</v>
      </c>
      <c r="C112" s="97" t="s">
        <v>117</v>
      </c>
      <c r="D112" s="97" t="s">
        <v>121</v>
      </c>
      <c r="E112" s="97" t="s">
        <v>1030</v>
      </c>
      <c r="F112" s="97" t="s">
        <v>1031</v>
      </c>
      <c r="G112" s="97" t="s">
        <v>873</v>
      </c>
      <c r="H112" s="97" t="s">
        <v>890</v>
      </c>
      <c r="I112" s="97" t="s">
        <v>984</v>
      </c>
      <c r="J112" s="97" t="s">
        <v>17</v>
      </c>
      <c r="K112" s="98" t="s">
        <v>8</v>
      </c>
    </row>
    <row r="113" spans="1:11" ht="28.8">
      <c r="A113" s="94">
        <f>_xlfn.XLOOKUP(B113,' Lista de Entrevistas'!B:B,' Lista de Entrevistas'!A:A,"")</f>
        <v>14</v>
      </c>
      <c r="B113" s="99" t="s">
        <v>109</v>
      </c>
      <c r="C113" s="99" t="s">
        <v>1032</v>
      </c>
      <c r="D113" s="99" t="s">
        <v>199</v>
      </c>
      <c r="E113" s="99" t="s">
        <v>1140</v>
      </c>
      <c r="F113" s="99" t="s">
        <v>1141</v>
      </c>
      <c r="G113" s="99" t="s">
        <v>896</v>
      </c>
      <c r="H113" s="99" t="s">
        <v>28</v>
      </c>
      <c r="I113" s="99" t="s">
        <v>988</v>
      </c>
      <c r="J113" s="99" t="s">
        <v>17</v>
      </c>
      <c r="K113" s="100" t="s">
        <v>13</v>
      </c>
    </row>
    <row r="114" spans="1:11" ht="28.8">
      <c r="A114" s="92">
        <f>_xlfn.XLOOKUP(B114,' Lista de Entrevistas'!B:B,' Lista de Entrevistas'!A:A,"")</f>
        <v>14</v>
      </c>
      <c r="B114" s="97" t="s">
        <v>109</v>
      </c>
      <c r="C114" s="97" t="s">
        <v>1032</v>
      </c>
      <c r="D114" s="97" t="s">
        <v>199</v>
      </c>
      <c r="E114" s="97" t="s">
        <v>1140</v>
      </c>
      <c r="F114" s="97" t="s">
        <v>1141</v>
      </c>
      <c r="G114" s="97" t="s">
        <v>896</v>
      </c>
      <c r="H114" s="97" t="s">
        <v>28</v>
      </c>
      <c r="I114" s="97" t="s">
        <v>982</v>
      </c>
      <c r="J114" s="97" t="s">
        <v>17</v>
      </c>
      <c r="K114" s="98" t="s">
        <v>13</v>
      </c>
    </row>
    <row r="115" spans="1:11" ht="28.8">
      <c r="A115" s="94">
        <f>_xlfn.XLOOKUP(B115,' Lista de Entrevistas'!B:B,' Lista de Entrevistas'!A:A,"")</f>
        <v>14</v>
      </c>
      <c r="B115" s="99" t="s">
        <v>109</v>
      </c>
      <c r="C115" s="99" t="s">
        <v>1032</v>
      </c>
      <c r="D115" s="99" t="s">
        <v>199</v>
      </c>
      <c r="E115" s="99" t="s">
        <v>1142</v>
      </c>
      <c r="F115" s="99" t="s">
        <v>1141</v>
      </c>
      <c r="G115" s="99" t="s">
        <v>896</v>
      </c>
      <c r="H115" s="99" t="s">
        <v>28</v>
      </c>
      <c r="I115" s="99" t="s">
        <v>988</v>
      </c>
      <c r="J115" s="99" t="s">
        <v>17</v>
      </c>
      <c r="K115" s="100" t="s">
        <v>13</v>
      </c>
    </row>
    <row r="116" spans="1:11" ht="28.8">
      <c r="A116" s="92">
        <f>_xlfn.XLOOKUP(B116,' Lista de Entrevistas'!B:B,' Lista de Entrevistas'!A:A,"")</f>
        <v>14</v>
      </c>
      <c r="B116" s="97" t="s">
        <v>109</v>
      </c>
      <c r="C116" s="97" t="s">
        <v>1032</v>
      </c>
      <c r="D116" s="97" t="s">
        <v>199</v>
      </c>
      <c r="E116" s="97" t="s">
        <v>1142</v>
      </c>
      <c r="F116" s="97" t="s">
        <v>1141</v>
      </c>
      <c r="G116" s="97" t="s">
        <v>896</v>
      </c>
      <c r="H116" s="97" t="s">
        <v>28</v>
      </c>
      <c r="I116" s="97" t="s">
        <v>994</v>
      </c>
      <c r="J116" s="97" t="s">
        <v>17</v>
      </c>
      <c r="K116" s="98" t="s">
        <v>13</v>
      </c>
    </row>
    <row r="117" spans="1:11" ht="28.8">
      <c r="A117" s="94">
        <f>_xlfn.XLOOKUP(B117,' Lista de Entrevistas'!B:B,' Lista de Entrevistas'!A:A,"")</f>
        <v>14</v>
      </c>
      <c r="B117" s="99" t="s">
        <v>109</v>
      </c>
      <c r="C117" s="99" t="s">
        <v>1032</v>
      </c>
      <c r="D117" s="99" t="s">
        <v>199</v>
      </c>
      <c r="E117" s="99" t="s">
        <v>1143</v>
      </c>
      <c r="F117" s="99" t="s">
        <v>1052</v>
      </c>
      <c r="G117" s="99" t="s">
        <v>885</v>
      </c>
      <c r="H117" s="99" t="s">
        <v>28</v>
      </c>
      <c r="I117" s="99" t="s">
        <v>994</v>
      </c>
      <c r="J117" s="99" t="s">
        <v>21</v>
      </c>
      <c r="K117" s="100" t="s">
        <v>8</v>
      </c>
    </row>
    <row r="118" spans="1:11" ht="28.8">
      <c r="A118" s="92">
        <f>_xlfn.XLOOKUP(B118,' Lista de Entrevistas'!B:B,' Lista de Entrevistas'!A:A,"")</f>
        <v>14</v>
      </c>
      <c r="B118" s="97" t="s">
        <v>109</v>
      </c>
      <c r="C118" s="97" t="s">
        <v>1032</v>
      </c>
      <c r="D118" s="97" t="s">
        <v>199</v>
      </c>
      <c r="E118" s="97" t="s">
        <v>1143</v>
      </c>
      <c r="F118" s="97" t="s">
        <v>1052</v>
      </c>
      <c r="G118" s="97" t="s">
        <v>885</v>
      </c>
      <c r="H118" s="97" t="s">
        <v>28</v>
      </c>
      <c r="I118" s="97" t="s">
        <v>986</v>
      </c>
      <c r="J118" s="97" t="s">
        <v>21</v>
      </c>
      <c r="K118" s="98" t="s">
        <v>8</v>
      </c>
    </row>
    <row r="119" spans="1:11" ht="28.8">
      <c r="A119" s="94">
        <f>_xlfn.XLOOKUP(B119,' Lista de Entrevistas'!B:B,' Lista de Entrevistas'!A:A,"")</f>
        <v>15</v>
      </c>
      <c r="B119" s="99" t="s">
        <v>111</v>
      </c>
      <c r="C119" s="99" t="s">
        <v>117</v>
      </c>
      <c r="D119" s="99" t="s">
        <v>199</v>
      </c>
      <c r="E119" s="99" t="s">
        <v>1087</v>
      </c>
      <c r="F119" s="99" t="s">
        <v>1034</v>
      </c>
      <c r="G119" s="99" t="s">
        <v>860</v>
      </c>
      <c r="H119" s="99" t="s">
        <v>854</v>
      </c>
      <c r="I119" s="99" t="s">
        <v>980</v>
      </c>
      <c r="J119" s="99" t="s">
        <v>17</v>
      </c>
      <c r="K119" s="100" t="s">
        <v>8</v>
      </c>
    </row>
    <row r="120" spans="1:11" ht="28.8">
      <c r="A120" s="92">
        <f>_xlfn.XLOOKUP(B120,' Lista de Entrevistas'!B:B,' Lista de Entrevistas'!A:A,"")</f>
        <v>15</v>
      </c>
      <c r="B120" s="97" t="s">
        <v>111</v>
      </c>
      <c r="C120" s="97" t="s">
        <v>117</v>
      </c>
      <c r="D120" s="97" t="s">
        <v>199</v>
      </c>
      <c r="E120" s="97" t="s">
        <v>1087</v>
      </c>
      <c r="F120" s="97" t="s">
        <v>1034</v>
      </c>
      <c r="G120" s="97" t="s">
        <v>860</v>
      </c>
      <c r="H120" s="97" t="s">
        <v>854</v>
      </c>
      <c r="I120" s="97" t="s">
        <v>982</v>
      </c>
      <c r="J120" s="97" t="s">
        <v>17</v>
      </c>
      <c r="K120" s="98" t="s">
        <v>8</v>
      </c>
    </row>
    <row r="121" spans="1:11" ht="28.8">
      <c r="A121" s="94">
        <f>_xlfn.XLOOKUP(B121,' Lista de Entrevistas'!B:B,' Lista de Entrevistas'!A:A,"")</f>
        <v>15</v>
      </c>
      <c r="B121" s="99" t="s">
        <v>111</v>
      </c>
      <c r="C121" s="99" t="s">
        <v>117</v>
      </c>
      <c r="D121" s="99" t="s">
        <v>199</v>
      </c>
      <c r="E121" s="99" t="s">
        <v>1088</v>
      </c>
      <c r="F121" s="99" t="s">
        <v>1089</v>
      </c>
      <c r="G121" s="99" t="s">
        <v>877</v>
      </c>
      <c r="H121" s="99" t="s">
        <v>850</v>
      </c>
      <c r="I121" s="99" t="s">
        <v>984</v>
      </c>
      <c r="J121" s="99" t="s">
        <v>17</v>
      </c>
      <c r="K121" s="100" t="s">
        <v>13</v>
      </c>
    </row>
    <row r="122" spans="1:11" ht="28.8">
      <c r="A122" s="92">
        <f>_xlfn.XLOOKUP(B122,' Lista de Entrevistas'!B:B,' Lista de Entrevistas'!A:A,"")</f>
        <v>15</v>
      </c>
      <c r="B122" s="97" t="s">
        <v>111</v>
      </c>
      <c r="C122" s="97" t="s">
        <v>117</v>
      </c>
      <c r="D122" s="97" t="s">
        <v>199</v>
      </c>
      <c r="E122" s="97" t="s">
        <v>1088</v>
      </c>
      <c r="F122" s="97" t="s">
        <v>1089</v>
      </c>
      <c r="G122" s="97" t="s">
        <v>877</v>
      </c>
      <c r="H122" s="97" t="s">
        <v>850</v>
      </c>
      <c r="I122" s="97" t="s">
        <v>982</v>
      </c>
      <c r="J122" s="97" t="s">
        <v>17</v>
      </c>
      <c r="K122" s="98" t="s">
        <v>13</v>
      </c>
    </row>
    <row r="123" spans="1:11" ht="28.8">
      <c r="A123" s="94">
        <f>_xlfn.XLOOKUP(B123,' Lista de Entrevistas'!B:B,' Lista de Entrevistas'!A:A,"")</f>
        <v>15</v>
      </c>
      <c r="B123" s="99" t="s">
        <v>111</v>
      </c>
      <c r="C123" s="99" t="s">
        <v>117</v>
      </c>
      <c r="D123" s="99" t="s">
        <v>199</v>
      </c>
      <c r="E123" s="99" t="s">
        <v>1090</v>
      </c>
      <c r="F123" s="99" t="s">
        <v>1019</v>
      </c>
      <c r="G123" s="99" t="s">
        <v>877</v>
      </c>
      <c r="H123" s="99" t="s">
        <v>850</v>
      </c>
      <c r="I123" s="99" t="s">
        <v>984</v>
      </c>
      <c r="J123" s="99" t="s">
        <v>21</v>
      </c>
      <c r="K123" s="100" t="s">
        <v>8</v>
      </c>
    </row>
    <row r="124" spans="1:11" ht="28.8">
      <c r="A124" s="92">
        <f>_xlfn.XLOOKUP(B124,' Lista de Entrevistas'!B:B,' Lista de Entrevistas'!A:A,"")</f>
        <v>15</v>
      </c>
      <c r="B124" s="97" t="s">
        <v>111</v>
      </c>
      <c r="C124" s="97" t="s">
        <v>117</v>
      </c>
      <c r="D124" s="97" t="s">
        <v>199</v>
      </c>
      <c r="E124" s="97" t="s">
        <v>1090</v>
      </c>
      <c r="F124" s="97" t="s">
        <v>1019</v>
      </c>
      <c r="G124" s="97" t="s">
        <v>877</v>
      </c>
      <c r="H124" s="97" t="s">
        <v>850</v>
      </c>
      <c r="I124" s="97" t="s">
        <v>986</v>
      </c>
      <c r="J124" s="97" t="s">
        <v>21</v>
      </c>
      <c r="K124" s="98" t="s">
        <v>8</v>
      </c>
    </row>
    <row r="125" spans="1:11" ht="28.8">
      <c r="A125" s="94">
        <f>_xlfn.XLOOKUP(B125,' Lista de Entrevistas'!B:B,' Lista de Entrevistas'!A:A,"")</f>
        <v>15</v>
      </c>
      <c r="B125" s="99" t="s">
        <v>111</v>
      </c>
      <c r="C125" s="99" t="s">
        <v>117</v>
      </c>
      <c r="D125" s="99" t="s">
        <v>199</v>
      </c>
      <c r="E125" s="99" t="s">
        <v>1091</v>
      </c>
      <c r="F125" s="99" t="s">
        <v>1086</v>
      </c>
      <c r="G125" s="99" t="s">
        <v>893</v>
      </c>
      <c r="H125" s="99" t="s">
        <v>853</v>
      </c>
      <c r="I125" s="99" t="s">
        <v>992</v>
      </c>
      <c r="J125" s="99" t="s">
        <v>17</v>
      </c>
      <c r="K125" s="100" t="s">
        <v>8</v>
      </c>
    </row>
    <row r="126" spans="1:11" ht="28.8">
      <c r="A126" s="92">
        <f>_xlfn.XLOOKUP(B126,' Lista de Entrevistas'!B:B,' Lista de Entrevistas'!A:A,"")</f>
        <v>15</v>
      </c>
      <c r="B126" s="97" t="s">
        <v>111</v>
      </c>
      <c r="C126" s="97" t="s">
        <v>117</v>
      </c>
      <c r="D126" s="97" t="s">
        <v>199</v>
      </c>
      <c r="E126" s="97" t="s">
        <v>1091</v>
      </c>
      <c r="F126" s="97" t="s">
        <v>1086</v>
      </c>
      <c r="G126" s="97" t="s">
        <v>893</v>
      </c>
      <c r="H126" s="97" t="s">
        <v>853</v>
      </c>
      <c r="I126" s="97" t="s">
        <v>980</v>
      </c>
      <c r="J126" s="97" t="s">
        <v>17</v>
      </c>
      <c r="K126" s="98" t="s">
        <v>8</v>
      </c>
    </row>
    <row r="127" spans="1:11" ht="28.8">
      <c r="A127" s="94">
        <f>_xlfn.XLOOKUP(B127,' Lista de Entrevistas'!B:B,' Lista de Entrevistas'!A:A,"")</f>
        <v>15</v>
      </c>
      <c r="B127" s="99" t="s">
        <v>111</v>
      </c>
      <c r="C127" s="99" t="s">
        <v>117</v>
      </c>
      <c r="D127" s="99" t="s">
        <v>199</v>
      </c>
      <c r="E127" s="99" t="s">
        <v>1092</v>
      </c>
      <c r="F127" s="99" t="s">
        <v>1031</v>
      </c>
      <c r="G127" s="99" t="s">
        <v>873</v>
      </c>
      <c r="H127" s="97" t="s">
        <v>890</v>
      </c>
      <c r="I127" s="99" t="s">
        <v>984</v>
      </c>
      <c r="J127" s="99" t="s">
        <v>17</v>
      </c>
      <c r="K127" s="100" t="s">
        <v>8</v>
      </c>
    </row>
    <row r="128" spans="1:11" ht="28.8">
      <c r="A128" s="92">
        <f>_xlfn.XLOOKUP(B128,' Lista de Entrevistas'!B:B,' Lista de Entrevistas'!A:A,"")</f>
        <v>15</v>
      </c>
      <c r="B128" s="97" t="s">
        <v>111</v>
      </c>
      <c r="C128" s="97" t="s">
        <v>117</v>
      </c>
      <c r="D128" s="97" t="s">
        <v>199</v>
      </c>
      <c r="E128" s="97" t="s">
        <v>1092</v>
      </c>
      <c r="F128" s="97" t="s">
        <v>1031</v>
      </c>
      <c r="G128" s="97" t="s">
        <v>873</v>
      </c>
      <c r="H128" s="97" t="s">
        <v>890</v>
      </c>
      <c r="I128" s="97" t="s">
        <v>992</v>
      </c>
      <c r="J128" s="97" t="s">
        <v>17</v>
      </c>
      <c r="K128" s="98" t="s">
        <v>8</v>
      </c>
    </row>
    <row r="129" spans="1:11" ht="28.8">
      <c r="A129" s="92">
        <f>_xlfn.XLOOKUP(B129,' Lista de Entrevistas'!B:B,' Lista de Entrevistas'!A:A,"")</f>
        <v>16</v>
      </c>
      <c r="B129" s="97" t="s">
        <v>113</v>
      </c>
      <c r="C129" s="97" t="s">
        <v>76</v>
      </c>
      <c r="D129" s="97" t="s">
        <v>121</v>
      </c>
      <c r="E129" s="97" t="s">
        <v>1016</v>
      </c>
      <c r="F129" s="97" t="s">
        <v>1017</v>
      </c>
      <c r="G129" s="97" t="s">
        <v>862</v>
      </c>
      <c r="H129" s="97" t="s">
        <v>854</v>
      </c>
      <c r="I129" s="97" t="s">
        <v>994</v>
      </c>
      <c r="J129" s="97" t="s">
        <v>17</v>
      </c>
      <c r="K129" s="98" t="s">
        <v>8</v>
      </c>
    </row>
    <row r="130" spans="1:11" ht="28.8">
      <c r="A130" s="94">
        <f>_xlfn.XLOOKUP(B130,' Lista de Entrevistas'!B:B,' Lista de Entrevistas'!A:A,"")</f>
        <v>16</v>
      </c>
      <c r="B130" s="99" t="s">
        <v>113</v>
      </c>
      <c r="C130" s="99" t="s">
        <v>76</v>
      </c>
      <c r="D130" s="99" t="s">
        <v>121</v>
      </c>
      <c r="E130" s="99" t="s">
        <v>1016</v>
      </c>
      <c r="F130" s="99" t="s">
        <v>1017</v>
      </c>
      <c r="G130" s="99" t="s">
        <v>862</v>
      </c>
      <c r="H130" s="99" t="s">
        <v>854</v>
      </c>
      <c r="I130" s="99" t="s">
        <v>986</v>
      </c>
      <c r="J130" s="99" t="s">
        <v>17</v>
      </c>
      <c r="K130" s="100" t="s">
        <v>8</v>
      </c>
    </row>
    <row r="131" spans="1:11" ht="28.8">
      <c r="A131" s="92">
        <f>_xlfn.XLOOKUP(B131,' Lista de Entrevistas'!B:B,' Lista de Entrevistas'!A:A,"")</f>
        <v>16</v>
      </c>
      <c r="B131" s="97" t="s">
        <v>113</v>
      </c>
      <c r="C131" s="97" t="s">
        <v>76</v>
      </c>
      <c r="D131" s="97" t="s">
        <v>121</v>
      </c>
      <c r="E131" s="97" t="s">
        <v>1018</v>
      </c>
      <c r="F131" s="97" t="s">
        <v>1019</v>
      </c>
      <c r="G131" s="97" t="s">
        <v>877</v>
      </c>
      <c r="H131" s="97" t="s">
        <v>850</v>
      </c>
      <c r="I131" s="97" t="s">
        <v>984</v>
      </c>
      <c r="J131" s="97" t="s">
        <v>21</v>
      </c>
      <c r="K131" s="98" t="s">
        <v>8</v>
      </c>
    </row>
    <row r="132" spans="1:11" ht="28.8">
      <c r="A132" s="94">
        <f>_xlfn.XLOOKUP(B132,' Lista de Entrevistas'!B:B,' Lista de Entrevistas'!A:A,"")</f>
        <v>16</v>
      </c>
      <c r="B132" s="99" t="s">
        <v>113</v>
      </c>
      <c r="C132" s="99" t="s">
        <v>76</v>
      </c>
      <c r="D132" s="99" t="s">
        <v>121</v>
      </c>
      <c r="E132" s="99" t="s">
        <v>1018</v>
      </c>
      <c r="F132" s="99" t="s">
        <v>1019</v>
      </c>
      <c r="G132" s="99" t="s">
        <v>877</v>
      </c>
      <c r="H132" s="99" t="s">
        <v>850</v>
      </c>
      <c r="I132" s="99" t="s">
        <v>986</v>
      </c>
      <c r="J132" s="99" t="s">
        <v>21</v>
      </c>
      <c r="K132" s="100" t="s">
        <v>8</v>
      </c>
    </row>
    <row r="133" spans="1:11" ht="28.8">
      <c r="A133" s="92">
        <f>_xlfn.XLOOKUP(B133,' Lista de Entrevistas'!B:B,' Lista de Entrevistas'!A:A,"")</f>
        <v>16</v>
      </c>
      <c r="B133" s="97" t="s">
        <v>113</v>
      </c>
      <c r="C133" s="97" t="s">
        <v>76</v>
      </c>
      <c r="D133" s="97" t="s">
        <v>121</v>
      </c>
      <c r="E133" s="97" t="s">
        <v>1020</v>
      </c>
      <c r="F133" s="97" t="s">
        <v>1021</v>
      </c>
      <c r="G133" s="97" t="s">
        <v>892</v>
      </c>
      <c r="H133" s="97" t="s">
        <v>853</v>
      </c>
      <c r="I133" s="97" t="s">
        <v>992</v>
      </c>
      <c r="J133" s="97" t="s">
        <v>12</v>
      </c>
      <c r="K133" s="98" t="s">
        <v>13</v>
      </c>
    </row>
    <row r="134" spans="1:11" ht="28.8">
      <c r="A134" s="94">
        <f>_xlfn.XLOOKUP(B134,' Lista de Entrevistas'!B:B,' Lista de Entrevistas'!A:A,"")</f>
        <v>16</v>
      </c>
      <c r="B134" s="99" t="s">
        <v>113</v>
      </c>
      <c r="C134" s="99" t="s">
        <v>76</v>
      </c>
      <c r="D134" s="99" t="s">
        <v>121</v>
      </c>
      <c r="E134" s="99" t="s">
        <v>1020</v>
      </c>
      <c r="F134" s="99" t="s">
        <v>1021</v>
      </c>
      <c r="G134" s="99" t="s">
        <v>892</v>
      </c>
      <c r="H134" s="99" t="s">
        <v>853</v>
      </c>
      <c r="I134" s="99" t="s">
        <v>978</v>
      </c>
      <c r="J134" s="99" t="s">
        <v>12</v>
      </c>
      <c r="K134" s="100" t="s">
        <v>13</v>
      </c>
    </row>
    <row r="135" spans="1:11" ht="28.8">
      <c r="A135" s="92">
        <f>_xlfn.XLOOKUP(B135,' Lista de Entrevistas'!B:B,' Lista de Entrevistas'!A:A,"")</f>
        <v>16</v>
      </c>
      <c r="B135" s="97" t="s">
        <v>113</v>
      </c>
      <c r="C135" s="97" t="s">
        <v>76</v>
      </c>
      <c r="D135" s="97" t="s">
        <v>121</v>
      </c>
      <c r="E135" s="97" t="s">
        <v>1022</v>
      </c>
      <c r="F135" s="97" t="s">
        <v>1023</v>
      </c>
      <c r="G135" s="97" t="s">
        <v>824</v>
      </c>
      <c r="H135" s="97" t="s">
        <v>853</v>
      </c>
      <c r="I135" s="97" t="s">
        <v>992</v>
      </c>
      <c r="J135" s="97" t="s">
        <v>12</v>
      </c>
      <c r="K135" s="98" t="s">
        <v>8</v>
      </c>
    </row>
    <row r="136" spans="1:11" ht="28.8">
      <c r="A136" s="94">
        <f>_xlfn.XLOOKUP(B136,' Lista de Entrevistas'!B:B,' Lista de Entrevistas'!A:A,"")</f>
        <v>16</v>
      </c>
      <c r="B136" s="99" t="s">
        <v>113</v>
      </c>
      <c r="C136" s="99" t="s">
        <v>76</v>
      </c>
      <c r="D136" s="99" t="s">
        <v>121</v>
      </c>
      <c r="E136" s="99" t="s">
        <v>1022</v>
      </c>
      <c r="F136" s="99" t="s">
        <v>1023</v>
      </c>
      <c r="G136" s="99" t="s">
        <v>824</v>
      </c>
      <c r="H136" s="99" t="s">
        <v>853</v>
      </c>
      <c r="I136" s="99" t="s">
        <v>988</v>
      </c>
      <c r="J136" s="99" t="s">
        <v>12</v>
      </c>
      <c r="K136" s="100" t="s">
        <v>8</v>
      </c>
    </row>
    <row r="137" spans="1:11" ht="28.8">
      <c r="A137" s="94">
        <f>_xlfn.XLOOKUP(B137,' Lista de Entrevistas'!B:B,' Lista de Entrevistas'!A:A,"")</f>
        <v>17</v>
      </c>
      <c r="B137" s="99" t="s">
        <v>114</v>
      </c>
      <c r="C137" s="99" t="s">
        <v>1032</v>
      </c>
      <c r="D137" s="99" t="s">
        <v>145</v>
      </c>
      <c r="E137" s="99" t="s">
        <v>1033</v>
      </c>
      <c r="F137" s="99" t="s">
        <v>1034</v>
      </c>
      <c r="G137" s="99" t="s">
        <v>860</v>
      </c>
      <c r="H137" s="99" t="s">
        <v>854</v>
      </c>
      <c r="I137" s="99" t="s">
        <v>978</v>
      </c>
      <c r="J137" s="99" t="s">
        <v>17</v>
      </c>
      <c r="K137" s="100" t="s">
        <v>8</v>
      </c>
    </row>
    <row r="138" spans="1:11" ht="28.8">
      <c r="A138" s="92">
        <f>_xlfn.XLOOKUP(B138,' Lista de Entrevistas'!B:B,' Lista de Entrevistas'!A:A,"")</f>
        <v>17</v>
      </c>
      <c r="B138" s="97" t="s">
        <v>114</v>
      </c>
      <c r="C138" s="97" t="s">
        <v>1032</v>
      </c>
      <c r="D138" s="97" t="s">
        <v>145</v>
      </c>
      <c r="E138" s="97" t="s">
        <v>1033</v>
      </c>
      <c r="F138" s="97" t="s">
        <v>1034</v>
      </c>
      <c r="G138" s="97" t="s">
        <v>860</v>
      </c>
      <c r="H138" s="97" t="s">
        <v>854</v>
      </c>
      <c r="I138" s="97" t="s">
        <v>980</v>
      </c>
      <c r="J138" s="97" t="s">
        <v>17</v>
      </c>
      <c r="K138" s="98" t="s">
        <v>8</v>
      </c>
    </row>
    <row r="139" spans="1:11" ht="28.8">
      <c r="A139" s="94">
        <f>_xlfn.XLOOKUP(B139,' Lista de Entrevistas'!B:B,' Lista de Entrevistas'!A:A,"")</f>
        <v>17</v>
      </c>
      <c r="B139" s="99" t="s">
        <v>114</v>
      </c>
      <c r="C139" s="99" t="s">
        <v>1032</v>
      </c>
      <c r="D139" s="99" t="s">
        <v>145</v>
      </c>
      <c r="E139" s="99" t="s">
        <v>1035</v>
      </c>
      <c r="F139" s="99" t="s">
        <v>1036</v>
      </c>
      <c r="G139" s="99" t="s">
        <v>883</v>
      </c>
      <c r="H139" s="99" t="s">
        <v>853</v>
      </c>
      <c r="I139" s="99" t="s">
        <v>994</v>
      </c>
      <c r="J139" s="99" t="s">
        <v>17</v>
      </c>
      <c r="K139" s="100" t="s">
        <v>13</v>
      </c>
    </row>
    <row r="140" spans="1:11" ht="28.8">
      <c r="A140" s="92">
        <f>_xlfn.XLOOKUP(B140,' Lista de Entrevistas'!B:B,' Lista de Entrevistas'!A:A,"")</f>
        <v>17</v>
      </c>
      <c r="B140" s="97" t="s">
        <v>114</v>
      </c>
      <c r="C140" s="97" t="s">
        <v>1032</v>
      </c>
      <c r="D140" s="97" t="s">
        <v>145</v>
      </c>
      <c r="E140" s="97" t="s">
        <v>1035</v>
      </c>
      <c r="F140" s="97" t="s">
        <v>1036</v>
      </c>
      <c r="G140" s="97" t="s">
        <v>883</v>
      </c>
      <c r="H140" s="97" t="s">
        <v>853</v>
      </c>
      <c r="I140" s="97" t="s">
        <v>988</v>
      </c>
      <c r="J140" s="97" t="s">
        <v>17</v>
      </c>
      <c r="K140" s="98" t="s">
        <v>13</v>
      </c>
    </row>
    <row r="141" spans="1:11" ht="28.8">
      <c r="A141" s="94">
        <f>_xlfn.XLOOKUP(B141,' Lista de Entrevistas'!B:B,' Lista de Entrevistas'!A:A,"")</f>
        <v>17</v>
      </c>
      <c r="B141" s="99" t="s">
        <v>114</v>
      </c>
      <c r="C141" s="99" t="s">
        <v>1032</v>
      </c>
      <c r="D141" s="99" t="s">
        <v>145</v>
      </c>
      <c r="E141" s="99" t="s">
        <v>1037</v>
      </c>
      <c r="F141" s="99" t="s">
        <v>1038</v>
      </c>
      <c r="G141" s="99" t="s">
        <v>891</v>
      </c>
      <c r="H141" s="97" t="s">
        <v>890</v>
      </c>
      <c r="I141" s="99" t="s">
        <v>984</v>
      </c>
      <c r="J141" s="99" t="s">
        <v>21</v>
      </c>
      <c r="K141" s="100" t="s">
        <v>8</v>
      </c>
    </row>
    <row r="142" spans="1:11" ht="28.8">
      <c r="A142" s="92">
        <f>_xlfn.XLOOKUP(B142,' Lista de Entrevistas'!B:B,' Lista de Entrevistas'!A:A,"")</f>
        <v>17</v>
      </c>
      <c r="B142" s="97" t="s">
        <v>114</v>
      </c>
      <c r="C142" s="97" t="s">
        <v>1032</v>
      </c>
      <c r="D142" s="97" t="s">
        <v>145</v>
      </c>
      <c r="E142" s="97" t="s">
        <v>1037</v>
      </c>
      <c r="F142" s="97" t="s">
        <v>1038</v>
      </c>
      <c r="G142" s="97" t="s">
        <v>891</v>
      </c>
      <c r="H142" s="97" t="s">
        <v>890</v>
      </c>
      <c r="I142" s="97" t="s">
        <v>994</v>
      </c>
      <c r="J142" s="97" t="s">
        <v>21</v>
      </c>
      <c r="K142" s="98" t="s">
        <v>8</v>
      </c>
    </row>
    <row r="143" spans="1:11" ht="28.8">
      <c r="A143" s="94">
        <f>_xlfn.XLOOKUP(B143,' Lista de Entrevistas'!B:B,' Lista de Entrevistas'!A:A,"")</f>
        <v>18</v>
      </c>
      <c r="B143" s="99" t="s">
        <v>115</v>
      </c>
      <c r="C143" s="99" t="s">
        <v>1032</v>
      </c>
      <c r="D143" s="99" t="s">
        <v>121</v>
      </c>
      <c r="E143" s="99" t="s">
        <v>1055</v>
      </c>
      <c r="F143" s="99" t="s">
        <v>1056</v>
      </c>
      <c r="G143" s="99" t="s">
        <v>858</v>
      </c>
      <c r="H143" s="99" t="s">
        <v>854</v>
      </c>
      <c r="I143" s="99" t="s">
        <v>994</v>
      </c>
      <c r="J143" s="99" t="s">
        <v>17</v>
      </c>
      <c r="K143" s="100" t="s">
        <v>13</v>
      </c>
    </row>
    <row r="144" spans="1:11" ht="28.8">
      <c r="A144" s="92">
        <f>_xlfn.XLOOKUP(B144,' Lista de Entrevistas'!B:B,' Lista de Entrevistas'!A:A,"")</f>
        <v>18</v>
      </c>
      <c r="B144" s="97" t="s">
        <v>115</v>
      </c>
      <c r="C144" s="97" t="s">
        <v>1032</v>
      </c>
      <c r="D144" s="97" t="s">
        <v>121</v>
      </c>
      <c r="E144" s="97" t="s">
        <v>1055</v>
      </c>
      <c r="F144" s="97" t="s">
        <v>1056</v>
      </c>
      <c r="G144" s="97" t="s">
        <v>858</v>
      </c>
      <c r="H144" s="97" t="s">
        <v>854</v>
      </c>
      <c r="I144" s="97" t="s">
        <v>982</v>
      </c>
      <c r="J144" s="97" t="s">
        <v>17</v>
      </c>
      <c r="K144" s="98" t="s">
        <v>13</v>
      </c>
    </row>
    <row r="145" spans="1:11" ht="28.8">
      <c r="A145" s="94">
        <f>_xlfn.XLOOKUP(B145,' Lista de Entrevistas'!B:B,' Lista de Entrevistas'!A:A,"")</f>
        <v>18</v>
      </c>
      <c r="B145" s="99" t="s">
        <v>115</v>
      </c>
      <c r="C145" s="99" t="s">
        <v>1032</v>
      </c>
      <c r="D145" s="99" t="s">
        <v>121</v>
      </c>
      <c r="E145" s="99" t="s">
        <v>1057</v>
      </c>
      <c r="F145" s="99" t="s">
        <v>1058</v>
      </c>
      <c r="G145" s="99" t="s">
        <v>861</v>
      </c>
      <c r="H145" s="99" t="s">
        <v>854</v>
      </c>
      <c r="I145" s="99" t="s">
        <v>994</v>
      </c>
      <c r="J145" s="99" t="s">
        <v>17</v>
      </c>
      <c r="K145" s="100" t="s">
        <v>13</v>
      </c>
    </row>
    <row r="146" spans="1:11" ht="28.8">
      <c r="A146" s="92">
        <f>_xlfn.XLOOKUP(B146,' Lista de Entrevistas'!B:B,' Lista de Entrevistas'!A:A,"")</f>
        <v>18</v>
      </c>
      <c r="B146" s="97" t="s">
        <v>115</v>
      </c>
      <c r="C146" s="97" t="s">
        <v>1032</v>
      </c>
      <c r="D146" s="97" t="s">
        <v>121</v>
      </c>
      <c r="E146" s="97" t="s">
        <v>1057</v>
      </c>
      <c r="F146" s="97" t="s">
        <v>1058</v>
      </c>
      <c r="G146" s="97" t="s">
        <v>861</v>
      </c>
      <c r="H146" s="97" t="s">
        <v>854</v>
      </c>
      <c r="I146" s="97" t="s">
        <v>984</v>
      </c>
      <c r="J146" s="97" t="s">
        <v>17</v>
      </c>
      <c r="K146" s="98" t="s">
        <v>13</v>
      </c>
    </row>
    <row r="147" spans="1:11" ht="28.8">
      <c r="A147" s="94">
        <f>_xlfn.XLOOKUP(B147,' Lista de Entrevistas'!B:B,' Lista de Entrevistas'!A:A,"")</f>
        <v>18</v>
      </c>
      <c r="B147" s="99" t="s">
        <v>115</v>
      </c>
      <c r="C147" s="99" t="s">
        <v>1032</v>
      </c>
      <c r="D147" s="99" t="s">
        <v>121</v>
      </c>
      <c r="E147" s="99" t="s">
        <v>1059</v>
      </c>
      <c r="F147" s="99" t="s">
        <v>1060</v>
      </c>
      <c r="G147" s="99" t="s">
        <v>858</v>
      </c>
      <c r="H147" s="99" t="s">
        <v>854</v>
      </c>
      <c r="I147" s="99" t="s">
        <v>982</v>
      </c>
      <c r="J147" s="99" t="s">
        <v>17</v>
      </c>
      <c r="K147" s="100" t="s">
        <v>13</v>
      </c>
    </row>
    <row r="148" spans="1:11" ht="28.8">
      <c r="A148" s="92">
        <f>_xlfn.XLOOKUP(B148,' Lista de Entrevistas'!B:B,' Lista de Entrevistas'!A:A,"")</f>
        <v>18</v>
      </c>
      <c r="B148" s="97" t="s">
        <v>115</v>
      </c>
      <c r="C148" s="97" t="s">
        <v>1032</v>
      </c>
      <c r="D148" s="97" t="s">
        <v>121</v>
      </c>
      <c r="E148" s="97" t="s">
        <v>1059</v>
      </c>
      <c r="F148" s="97" t="s">
        <v>1060</v>
      </c>
      <c r="G148" s="97" t="s">
        <v>858</v>
      </c>
      <c r="H148" s="97" t="s">
        <v>854</v>
      </c>
      <c r="I148" s="97" t="s">
        <v>980</v>
      </c>
      <c r="J148" s="97" t="s">
        <v>17</v>
      </c>
      <c r="K148" s="98" t="s">
        <v>13</v>
      </c>
    </row>
    <row r="149" spans="1:11" ht="28.8">
      <c r="A149" s="94">
        <f>_xlfn.XLOOKUP(B149,' Lista de Entrevistas'!B:B,' Lista de Entrevistas'!A:A,"")</f>
        <v>18</v>
      </c>
      <c r="B149" s="99" t="s">
        <v>115</v>
      </c>
      <c r="C149" s="99" t="s">
        <v>1032</v>
      </c>
      <c r="D149" s="99" t="s">
        <v>121</v>
      </c>
      <c r="E149" s="99" t="s">
        <v>1061</v>
      </c>
      <c r="F149" s="99" t="s">
        <v>1062</v>
      </c>
      <c r="G149" s="99" t="s">
        <v>858</v>
      </c>
      <c r="H149" s="99" t="s">
        <v>854</v>
      </c>
      <c r="I149" s="99" t="s">
        <v>980</v>
      </c>
      <c r="J149" s="99" t="s">
        <v>17</v>
      </c>
      <c r="K149" s="100" t="s">
        <v>13</v>
      </c>
    </row>
    <row r="150" spans="1:11" ht="28.8">
      <c r="A150" s="92">
        <f>_xlfn.XLOOKUP(B150,' Lista de Entrevistas'!B:B,' Lista de Entrevistas'!A:A,"")</f>
        <v>18</v>
      </c>
      <c r="B150" s="97" t="s">
        <v>115</v>
      </c>
      <c r="C150" s="97" t="s">
        <v>1032</v>
      </c>
      <c r="D150" s="97" t="s">
        <v>121</v>
      </c>
      <c r="E150" s="97" t="s">
        <v>1061</v>
      </c>
      <c r="F150" s="97" t="s">
        <v>1062</v>
      </c>
      <c r="G150" s="97" t="s">
        <v>858</v>
      </c>
      <c r="H150" s="97" t="s">
        <v>854</v>
      </c>
      <c r="I150" s="97" t="s">
        <v>978</v>
      </c>
      <c r="J150" s="97" t="s">
        <v>17</v>
      </c>
      <c r="K150" s="98" t="s">
        <v>13</v>
      </c>
    </row>
    <row r="151" spans="1:11" ht="28.8">
      <c r="A151" s="94">
        <f>_xlfn.XLOOKUP(B151,' Lista de Entrevistas'!B:B,' Lista de Entrevistas'!A:A,"")</f>
        <v>18</v>
      </c>
      <c r="B151" s="99" t="s">
        <v>115</v>
      </c>
      <c r="C151" s="99" t="s">
        <v>1032</v>
      </c>
      <c r="D151" s="99" t="s">
        <v>121</v>
      </c>
      <c r="E151" s="99" t="s">
        <v>1063</v>
      </c>
      <c r="F151" s="99" t="s">
        <v>1064</v>
      </c>
      <c r="G151" s="99" t="s">
        <v>861</v>
      </c>
      <c r="H151" s="99" t="s">
        <v>854</v>
      </c>
      <c r="I151" s="99" t="s">
        <v>986</v>
      </c>
      <c r="J151" s="99" t="s">
        <v>17</v>
      </c>
      <c r="K151" s="100" t="s">
        <v>8</v>
      </c>
    </row>
    <row r="152" spans="1:11" ht="28.8">
      <c r="A152" s="92">
        <f>_xlfn.XLOOKUP(B152,' Lista de Entrevistas'!B:B,' Lista de Entrevistas'!A:A,"")</f>
        <v>18</v>
      </c>
      <c r="B152" s="97" t="s">
        <v>115</v>
      </c>
      <c r="C152" s="97" t="s">
        <v>1032</v>
      </c>
      <c r="D152" s="97" t="s">
        <v>121</v>
      </c>
      <c r="E152" s="97" t="s">
        <v>1063</v>
      </c>
      <c r="F152" s="97" t="s">
        <v>1064</v>
      </c>
      <c r="G152" s="97" t="s">
        <v>861</v>
      </c>
      <c r="H152" s="97" t="s">
        <v>854</v>
      </c>
      <c r="I152" s="97" t="s">
        <v>994</v>
      </c>
      <c r="J152" s="97" t="s">
        <v>17</v>
      </c>
      <c r="K152" s="98" t="s">
        <v>8</v>
      </c>
    </row>
    <row r="153" spans="1:11" ht="28.8">
      <c r="A153" s="94">
        <f>_xlfn.XLOOKUP(B153,' Lista de Entrevistas'!B:B,' Lista de Entrevistas'!A:A,"")</f>
        <v>19</v>
      </c>
      <c r="B153" s="99" t="s">
        <v>190</v>
      </c>
      <c r="C153" s="99" t="s">
        <v>1032</v>
      </c>
      <c r="D153" s="99" t="s">
        <v>145</v>
      </c>
      <c r="E153" s="99" t="s">
        <v>1079</v>
      </c>
      <c r="F153" s="99" t="s">
        <v>1080</v>
      </c>
      <c r="G153" s="99" t="s">
        <v>878</v>
      </c>
      <c r="H153" s="99" t="s">
        <v>850</v>
      </c>
      <c r="I153" s="99" t="s">
        <v>992</v>
      </c>
      <c r="J153" s="99" t="s">
        <v>17</v>
      </c>
      <c r="K153" s="100" t="s">
        <v>8</v>
      </c>
    </row>
    <row r="154" spans="1:11" ht="28.8">
      <c r="A154" s="92">
        <f>_xlfn.XLOOKUP(B154,' Lista de Entrevistas'!B:B,' Lista de Entrevistas'!A:A,"")</f>
        <v>19</v>
      </c>
      <c r="B154" s="97" t="s">
        <v>190</v>
      </c>
      <c r="C154" s="97" t="s">
        <v>1032</v>
      </c>
      <c r="D154" s="97" t="s">
        <v>145</v>
      </c>
      <c r="E154" s="97" t="s">
        <v>1079</v>
      </c>
      <c r="F154" s="97" t="s">
        <v>1080</v>
      </c>
      <c r="G154" s="97" t="s">
        <v>878</v>
      </c>
      <c r="H154" s="97" t="s">
        <v>850</v>
      </c>
      <c r="I154" s="97" t="s">
        <v>982</v>
      </c>
      <c r="J154" s="97" t="s">
        <v>17</v>
      </c>
      <c r="K154" s="98" t="s">
        <v>8</v>
      </c>
    </row>
    <row r="155" spans="1:11" ht="28.8">
      <c r="A155" s="94">
        <f>_xlfn.XLOOKUP(B155,' Lista de Entrevistas'!B:B,' Lista de Entrevistas'!A:A,"")</f>
        <v>19</v>
      </c>
      <c r="B155" s="99" t="s">
        <v>190</v>
      </c>
      <c r="C155" s="99" t="s">
        <v>1032</v>
      </c>
      <c r="D155" s="99" t="s">
        <v>145</v>
      </c>
      <c r="E155" s="99" t="s">
        <v>1081</v>
      </c>
      <c r="F155" s="99" t="s">
        <v>1082</v>
      </c>
      <c r="G155" s="99" t="s">
        <v>888</v>
      </c>
      <c r="H155" s="99" t="s">
        <v>28</v>
      </c>
      <c r="I155" s="99" t="s">
        <v>992</v>
      </c>
      <c r="J155" s="99" t="s">
        <v>17</v>
      </c>
      <c r="K155" s="100" t="s">
        <v>13</v>
      </c>
    </row>
    <row r="156" spans="1:11" ht="28.8">
      <c r="A156" s="92">
        <f>_xlfn.XLOOKUP(B156,' Lista de Entrevistas'!B:B,' Lista de Entrevistas'!A:A,"")</f>
        <v>19</v>
      </c>
      <c r="B156" s="97" t="s">
        <v>190</v>
      </c>
      <c r="C156" s="97" t="s">
        <v>1032</v>
      </c>
      <c r="D156" s="97" t="s">
        <v>145</v>
      </c>
      <c r="E156" s="97" t="s">
        <v>1081</v>
      </c>
      <c r="F156" s="97" t="s">
        <v>1082</v>
      </c>
      <c r="G156" s="97" t="s">
        <v>888</v>
      </c>
      <c r="H156" s="97" t="s">
        <v>28</v>
      </c>
      <c r="I156" s="97" t="s">
        <v>994</v>
      </c>
      <c r="J156" s="97" t="s">
        <v>17</v>
      </c>
      <c r="K156" s="98" t="s">
        <v>13</v>
      </c>
    </row>
    <row r="157" spans="1:11" ht="28.8">
      <c r="A157" s="94">
        <f>_xlfn.XLOOKUP(B157,' Lista de Entrevistas'!B:B,' Lista de Entrevistas'!A:A,"")</f>
        <v>19</v>
      </c>
      <c r="B157" s="99" t="s">
        <v>190</v>
      </c>
      <c r="C157" s="99" t="s">
        <v>1032</v>
      </c>
      <c r="D157" s="99" t="s">
        <v>145</v>
      </c>
      <c r="E157" s="99" t="s">
        <v>1083</v>
      </c>
      <c r="F157" s="99" t="s">
        <v>1084</v>
      </c>
      <c r="G157" s="99" t="s">
        <v>893</v>
      </c>
      <c r="H157" s="99" t="s">
        <v>853</v>
      </c>
      <c r="I157" s="99" t="s">
        <v>992</v>
      </c>
      <c r="J157" s="99" t="s">
        <v>17</v>
      </c>
      <c r="K157" s="100" t="s">
        <v>13</v>
      </c>
    </row>
    <row r="158" spans="1:11" ht="28.8">
      <c r="A158" s="92">
        <f>_xlfn.XLOOKUP(B158,' Lista de Entrevistas'!B:B,' Lista de Entrevistas'!A:A,"")</f>
        <v>19</v>
      </c>
      <c r="B158" s="97" t="s">
        <v>190</v>
      </c>
      <c r="C158" s="97" t="s">
        <v>1032</v>
      </c>
      <c r="D158" s="97" t="s">
        <v>145</v>
      </c>
      <c r="E158" s="97" t="s">
        <v>1083</v>
      </c>
      <c r="F158" s="97" t="s">
        <v>1084</v>
      </c>
      <c r="G158" s="97" t="s">
        <v>893</v>
      </c>
      <c r="H158" s="97" t="s">
        <v>853</v>
      </c>
      <c r="I158" s="97" t="s">
        <v>988</v>
      </c>
      <c r="J158" s="97" t="s">
        <v>17</v>
      </c>
      <c r="K158" s="98" t="s">
        <v>13</v>
      </c>
    </row>
    <row r="159" spans="1:11" ht="28.8">
      <c r="A159" s="94">
        <f>_xlfn.XLOOKUP(B159,' Lista de Entrevistas'!B:B,' Lista de Entrevistas'!A:A,"")</f>
        <v>19</v>
      </c>
      <c r="B159" s="99" t="s">
        <v>190</v>
      </c>
      <c r="C159" s="99" t="s">
        <v>1032</v>
      </c>
      <c r="D159" s="99" t="s">
        <v>145</v>
      </c>
      <c r="E159" s="99" t="s">
        <v>1085</v>
      </c>
      <c r="F159" s="99" t="s">
        <v>1086</v>
      </c>
      <c r="G159" s="99" t="s">
        <v>893</v>
      </c>
      <c r="H159" s="99" t="s">
        <v>853</v>
      </c>
      <c r="I159" s="99" t="s">
        <v>992</v>
      </c>
      <c r="J159" s="99" t="s">
        <v>17</v>
      </c>
      <c r="K159" s="100" t="s">
        <v>8</v>
      </c>
    </row>
    <row r="160" spans="1:11" ht="28.8">
      <c r="A160" s="92">
        <f>_xlfn.XLOOKUP(B160,' Lista de Entrevistas'!B:B,' Lista de Entrevistas'!A:A,"")</f>
        <v>19</v>
      </c>
      <c r="B160" s="97" t="s">
        <v>190</v>
      </c>
      <c r="C160" s="97" t="s">
        <v>1032</v>
      </c>
      <c r="D160" s="97" t="s">
        <v>145</v>
      </c>
      <c r="E160" s="97" t="s">
        <v>1085</v>
      </c>
      <c r="F160" s="97" t="s">
        <v>1086</v>
      </c>
      <c r="G160" s="97" t="s">
        <v>893</v>
      </c>
      <c r="H160" s="97" t="s">
        <v>853</v>
      </c>
      <c r="I160" s="97" t="s">
        <v>978</v>
      </c>
      <c r="J160" s="97" t="s">
        <v>17</v>
      </c>
      <c r="K160" s="98" t="s">
        <v>8</v>
      </c>
    </row>
    <row r="161" spans="1:11" ht="28.8">
      <c r="A161" s="94">
        <f>_xlfn.XLOOKUP(B161,' Lista de Entrevistas'!B:B,' Lista de Entrevistas'!A:A,"")</f>
        <v>20</v>
      </c>
      <c r="B161" s="99" t="s">
        <v>638</v>
      </c>
      <c r="C161" s="99" t="s">
        <v>117</v>
      </c>
      <c r="D161" s="99" t="s">
        <v>121</v>
      </c>
      <c r="E161" s="99" t="s">
        <v>1065</v>
      </c>
      <c r="F161" s="99" t="s">
        <v>1066</v>
      </c>
      <c r="G161" s="99" t="s">
        <v>885</v>
      </c>
      <c r="H161" s="99" t="s">
        <v>28</v>
      </c>
      <c r="I161" s="99" t="s">
        <v>986</v>
      </c>
      <c r="J161" s="99" t="s">
        <v>21</v>
      </c>
      <c r="K161" s="100" t="s">
        <v>13</v>
      </c>
    </row>
    <row r="162" spans="1:11" ht="28.8">
      <c r="A162" s="92">
        <f>_xlfn.XLOOKUP(B162,' Lista de Entrevistas'!B:B,' Lista de Entrevistas'!A:A,"")</f>
        <v>20</v>
      </c>
      <c r="B162" s="97" t="s">
        <v>638</v>
      </c>
      <c r="C162" s="97" t="s">
        <v>117</v>
      </c>
      <c r="D162" s="97" t="s">
        <v>121</v>
      </c>
      <c r="E162" s="97" t="s">
        <v>1065</v>
      </c>
      <c r="F162" s="97" t="s">
        <v>1066</v>
      </c>
      <c r="G162" s="97" t="s">
        <v>885</v>
      </c>
      <c r="H162" s="97" t="s">
        <v>28</v>
      </c>
      <c r="I162" s="97" t="s">
        <v>994</v>
      </c>
      <c r="J162" s="97" t="s">
        <v>21</v>
      </c>
      <c r="K162" s="98" t="s">
        <v>13</v>
      </c>
    </row>
    <row r="163" spans="1:11" ht="28.8">
      <c r="A163" s="94">
        <f>_xlfn.XLOOKUP(B163,' Lista de Entrevistas'!B:B,' Lista de Entrevistas'!A:A,"")</f>
        <v>20</v>
      </c>
      <c r="B163" s="99" t="s">
        <v>638</v>
      </c>
      <c r="C163" s="99" t="s">
        <v>117</v>
      </c>
      <c r="D163" s="99" t="s">
        <v>121</v>
      </c>
      <c r="E163" s="99" t="s">
        <v>1067</v>
      </c>
      <c r="F163" s="99" t="s">
        <v>1068</v>
      </c>
      <c r="G163" s="99" t="s">
        <v>863</v>
      </c>
      <c r="H163" s="99" t="s">
        <v>854</v>
      </c>
      <c r="I163" s="99" t="s">
        <v>986</v>
      </c>
      <c r="J163" s="99" t="s">
        <v>17</v>
      </c>
      <c r="K163" s="100" t="s">
        <v>13</v>
      </c>
    </row>
    <row r="164" spans="1:11" ht="28.8">
      <c r="A164" s="92">
        <f>_xlfn.XLOOKUP(B164,' Lista de Entrevistas'!B:B,' Lista de Entrevistas'!A:A,"")</f>
        <v>20</v>
      </c>
      <c r="B164" s="97" t="s">
        <v>638</v>
      </c>
      <c r="C164" s="97" t="s">
        <v>117</v>
      </c>
      <c r="D164" s="97" t="s">
        <v>121</v>
      </c>
      <c r="E164" s="97" t="s">
        <v>1067</v>
      </c>
      <c r="F164" s="97" t="s">
        <v>1068</v>
      </c>
      <c r="G164" s="97" t="s">
        <v>863</v>
      </c>
      <c r="H164" s="97" t="s">
        <v>854</v>
      </c>
      <c r="I164" s="97" t="s">
        <v>994</v>
      </c>
      <c r="J164" s="97" t="s">
        <v>17</v>
      </c>
      <c r="K164" s="98" t="s">
        <v>13</v>
      </c>
    </row>
    <row r="165" spans="1:11" ht="28.8">
      <c r="A165" s="94">
        <f>_xlfn.XLOOKUP(B165,' Lista de Entrevistas'!B:B,' Lista de Entrevistas'!A:A,"")</f>
        <v>20</v>
      </c>
      <c r="B165" s="99" t="s">
        <v>638</v>
      </c>
      <c r="C165" s="99" t="s">
        <v>117</v>
      </c>
      <c r="D165" s="99" t="s">
        <v>121</v>
      </c>
      <c r="E165" s="99" t="s">
        <v>1069</v>
      </c>
      <c r="F165" s="99" t="s">
        <v>1070</v>
      </c>
      <c r="G165" s="99" t="s">
        <v>891</v>
      </c>
      <c r="H165" s="97" t="s">
        <v>890</v>
      </c>
      <c r="I165" s="99" t="s">
        <v>984</v>
      </c>
      <c r="J165" s="99" t="s">
        <v>17</v>
      </c>
      <c r="K165" s="100" t="s">
        <v>13</v>
      </c>
    </row>
    <row r="166" spans="1:11" ht="28.8">
      <c r="A166" s="92">
        <f>_xlfn.XLOOKUP(B166,' Lista de Entrevistas'!B:B,' Lista de Entrevistas'!A:A,"")</f>
        <v>20</v>
      </c>
      <c r="B166" s="97" t="s">
        <v>638</v>
      </c>
      <c r="C166" s="97" t="s">
        <v>117</v>
      </c>
      <c r="D166" s="97" t="s">
        <v>121</v>
      </c>
      <c r="E166" s="97" t="s">
        <v>1069</v>
      </c>
      <c r="F166" s="97" t="s">
        <v>1070</v>
      </c>
      <c r="G166" s="97" t="s">
        <v>891</v>
      </c>
      <c r="H166" s="97" t="s">
        <v>890</v>
      </c>
      <c r="I166" s="97" t="s">
        <v>978</v>
      </c>
      <c r="J166" s="97" t="s">
        <v>17</v>
      </c>
      <c r="K166" s="98" t="s">
        <v>13</v>
      </c>
    </row>
    <row r="167" spans="1:11" ht="28.8">
      <c r="A167" s="94">
        <f>_xlfn.XLOOKUP(B167,' Lista de Entrevistas'!B:B,' Lista de Entrevistas'!A:A,"")</f>
        <v>20</v>
      </c>
      <c r="B167" s="99" t="s">
        <v>638</v>
      </c>
      <c r="C167" s="99" t="s">
        <v>117</v>
      </c>
      <c r="D167" s="99" t="s">
        <v>121</v>
      </c>
      <c r="E167" s="99" t="s">
        <v>1071</v>
      </c>
      <c r="F167" s="99" t="s">
        <v>1046</v>
      </c>
      <c r="G167" s="99" t="s">
        <v>874</v>
      </c>
      <c r="H167" s="97" t="s">
        <v>890</v>
      </c>
      <c r="I167" s="99" t="s">
        <v>984</v>
      </c>
      <c r="J167" s="99" t="s">
        <v>17</v>
      </c>
      <c r="K167" s="100" t="s">
        <v>8</v>
      </c>
    </row>
    <row r="168" spans="1:11" ht="28.8">
      <c r="A168" s="92">
        <f>_xlfn.XLOOKUP(B168,' Lista de Entrevistas'!B:B,' Lista de Entrevistas'!A:A,"")</f>
        <v>20</v>
      </c>
      <c r="B168" s="97" t="s">
        <v>638</v>
      </c>
      <c r="C168" s="97" t="s">
        <v>117</v>
      </c>
      <c r="D168" s="97" t="s">
        <v>121</v>
      </c>
      <c r="E168" s="97" t="s">
        <v>1071</v>
      </c>
      <c r="F168" s="97" t="s">
        <v>1046</v>
      </c>
      <c r="G168" s="97" t="s">
        <v>874</v>
      </c>
      <c r="H168" s="97" t="s">
        <v>890</v>
      </c>
      <c r="I168" s="97" t="s">
        <v>978</v>
      </c>
      <c r="J168" s="97" t="s">
        <v>17</v>
      </c>
      <c r="K168" s="98" t="s">
        <v>8</v>
      </c>
    </row>
    <row r="169" spans="1:11" ht="28.8">
      <c r="A169" s="94">
        <f>_xlfn.XLOOKUP(B169,' Lista de Entrevistas'!B:B,' Lista de Entrevistas'!A:A,"")</f>
        <v>21</v>
      </c>
      <c r="B169" s="99" t="s">
        <v>736</v>
      </c>
      <c r="C169" s="99" t="s">
        <v>117</v>
      </c>
      <c r="D169" s="99" t="s">
        <v>199</v>
      </c>
      <c r="E169" s="99" t="s">
        <v>1185</v>
      </c>
      <c r="F169" s="99" t="s">
        <v>1019</v>
      </c>
      <c r="G169" s="99" t="s">
        <v>877</v>
      </c>
      <c r="H169" s="99" t="s">
        <v>850</v>
      </c>
      <c r="I169" s="99" t="s">
        <v>984</v>
      </c>
      <c r="J169" s="99" t="s">
        <v>12</v>
      </c>
      <c r="K169" s="100" t="s">
        <v>8</v>
      </c>
    </row>
    <row r="170" spans="1:11" ht="28.8">
      <c r="A170" s="92">
        <f>_xlfn.XLOOKUP(B170,' Lista de Entrevistas'!B:B,' Lista de Entrevistas'!A:A,"")</f>
        <v>21</v>
      </c>
      <c r="B170" s="97" t="s">
        <v>736</v>
      </c>
      <c r="C170" s="99" t="s">
        <v>117</v>
      </c>
      <c r="D170" s="97" t="s">
        <v>199</v>
      </c>
      <c r="E170" s="97" t="s">
        <v>1185</v>
      </c>
      <c r="F170" s="97" t="s">
        <v>1019</v>
      </c>
      <c r="G170" s="97" t="s">
        <v>877</v>
      </c>
      <c r="H170" s="97" t="s">
        <v>850</v>
      </c>
      <c r="I170" s="97" t="s">
        <v>986</v>
      </c>
      <c r="J170" s="97" t="s">
        <v>12</v>
      </c>
      <c r="K170" s="98" t="s">
        <v>8</v>
      </c>
    </row>
    <row r="171" spans="1:11" ht="28.8">
      <c r="A171" s="94">
        <f>_xlfn.XLOOKUP(B171,' Lista de Entrevistas'!B:B,' Lista de Entrevistas'!A:A,"")</f>
        <v>21</v>
      </c>
      <c r="B171" s="99" t="s">
        <v>736</v>
      </c>
      <c r="C171" s="99" t="s">
        <v>117</v>
      </c>
      <c r="D171" s="99" t="s">
        <v>199</v>
      </c>
      <c r="E171" s="99" t="s">
        <v>1185</v>
      </c>
      <c r="F171" s="99" t="s">
        <v>1019</v>
      </c>
      <c r="G171" s="99" t="s">
        <v>877</v>
      </c>
      <c r="H171" s="99" t="s">
        <v>850</v>
      </c>
      <c r="I171" s="99" t="s">
        <v>982</v>
      </c>
      <c r="J171" s="99" t="s">
        <v>12</v>
      </c>
      <c r="K171" s="100" t="s">
        <v>8</v>
      </c>
    </row>
    <row r="172" spans="1:11" ht="28.8">
      <c r="A172" s="92">
        <f>_xlfn.XLOOKUP(B172,' Lista de Entrevistas'!B:B,' Lista de Entrevistas'!A:A,"")</f>
        <v>21</v>
      </c>
      <c r="B172" s="97" t="s">
        <v>736</v>
      </c>
      <c r="C172" s="99" t="s">
        <v>117</v>
      </c>
      <c r="D172" s="97" t="s">
        <v>199</v>
      </c>
      <c r="E172" s="97" t="s">
        <v>1186</v>
      </c>
      <c r="F172" s="97" t="s">
        <v>1031</v>
      </c>
      <c r="G172" s="97" t="s">
        <v>873</v>
      </c>
      <c r="H172" s="97" t="s">
        <v>890</v>
      </c>
      <c r="I172" s="97" t="s">
        <v>984</v>
      </c>
      <c r="J172" s="97" t="s">
        <v>17</v>
      </c>
      <c r="K172" s="98" t="s">
        <v>8</v>
      </c>
    </row>
    <row r="173" spans="1:11" ht="28.8">
      <c r="A173" s="94">
        <f>_xlfn.XLOOKUP(B173,' Lista de Entrevistas'!B:B,' Lista de Entrevistas'!A:A,"")</f>
        <v>21</v>
      </c>
      <c r="B173" s="99" t="s">
        <v>736</v>
      </c>
      <c r="C173" s="99" t="s">
        <v>117</v>
      </c>
      <c r="D173" s="99" t="s">
        <v>199</v>
      </c>
      <c r="E173" s="99" t="s">
        <v>1186</v>
      </c>
      <c r="F173" s="99" t="s">
        <v>1031</v>
      </c>
      <c r="G173" s="99" t="s">
        <v>873</v>
      </c>
      <c r="H173" s="97" t="s">
        <v>890</v>
      </c>
      <c r="I173" s="99" t="s">
        <v>986</v>
      </c>
      <c r="J173" s="99" t="s">
        <v>17</v>
      </c>
      <c r="K173" s="100" t="s">
        <v>8</v>
      </c>
    </row>
    <row r="174" spans="1:11" ht="28.8">
      <c r="A174" s="92">
        <f>_xlfn.XLOOKUP(B174,' Lista de Entrevistas'!B:B,' Lista de Entrevistas'!A:A,"")</f>
        <v>21</v>
      </c>
      <c r="B174" s="97" t="s">
        <v>736</v>
      </c>
      <c r="C174" s="99" t="s">
        <v>117</v>
      </c>
      <c r="D174" s="97" t="s">
        <v>199</v>
      </c>
      <c r="E174" s="97" t="s">
        <v>1186</v>
      </c>
      <c r="F174" s="97" t="s">
        <v>1031</v>
      </c>
      <c r="G174" s="97" t="s">
        <v>873</v>
      </c>
      <c r="H174" s="97" t="s">
        <v>890</v>
      </c>
      <c r="I174" s="97" t="s">
        <v>992</v>
      </c>
      <c r="J174" s="97" t="s">
        <v>17</v>
      </c>
      <c r="K174" s="98" t="s">
        <v>8</v>
      </c>
    </row>
    <row r="175" spans="1:11" ht="28.8">
      <c r="A175" s="92">
        <f>_xlfn.XLOOKUP(B175,' Lista de Entrevistas'!B:B,' Lista de Entrevistas'!A:A,"")</f>
        <v>21</v>
      </c>
      <c r="B175" s="99" t="s">
        <v>736</v>
      </c>
      <c r="C175" s="99" t="s">
        <v>117</v>
      </c>
      <c r="D175" s="99" t="s">
        <v>199</v>
      </c>
      <c r="E175" s="99" t="s">
        <v>1275</v>
      </c>
      <c r="F175" s="99" t="s">
        <v>1276</v>
      </c>
      <c r="G175" s="99" t="s">
        <v>824</v>
      </c>
      <c r="H175" s="99" t="s">
        <v>853</v>
      </c>
      <c r="I175" s="99" t="s">
        <v>992</v>
      </c>
      <c r="J175" s="99" t="s">
        <v>17</v>
      </c>
      <c r="K175" s="100" t="s">
        <v>8</v>
      </c>
    </row>
    <row r="176" spans="1:11" ht="28.8">
      <c r="A176" s="92">
        <f>_xlfn.XLOOKUP(B176,' Lista de Entrevistas'!B:B,' Lista de Entrevistas'!A:A,"")</f>
        <v>21</v>
      </c>
      <c r="B176" s="99" t="s">
        <v>736</v>
      </c>
      <c r="C176" s="97" t="s">
        <v>117</v>
      </c>
      <c r="D176" s="97" t="s">
        <v>199</v>
      </c>
      <c r="E176" s="97" t="s">
        <v>1275</v>
      </c>
      <c r="F176" s="97" t="s">
        <v>1276</v>
      </c>
      <c r="G176" s="97" t="s">
        <v>824</v>
      </c>
      <c r="H176" s="97" t="s">
        <v>853</v>
      </c>
      <c r="I176" s="97" t="s">
        <v>984</v>
      </c>
      <c r="J176" s="97" t="s">
        <v>17</v>
      </c>
      <c r="K176" s="98" t="s">
        <v>8</v>
      </c>
    </row>
    <row r="177" spans="1:11" ht="28.8">
      <c r="A177" s="92">
        <f>_xlfn.XLOOKUP(B177,' Lista de Entrevistas'!B:B,' Lista de Entrevistas'!A:A,"")</f>
        <v>21</v>
      </c>
      <c r="B177" s="99" t="s">
        <v>736</v>
      </c>
      <c r="C177" s="99" t="s">
        <v>117</v>
      </c>
      <c r="D177" s="99" t="s">
        <v>199</v>
      </c>
      <c r="E177" s="99" t="s">
        <v>1277</v>
      </c>
      <c r="F177" s="99" t="s">
        <v>1278</v>
      </c>
      <c r="G177" s="99" t="s">
        <v>861</v>
      </c>
      <c r="H177" s="99" t="s">
        <v>854</v>
      </c>
      <c r="I177" s="99" t="s">
        <v>986</v>
      </c>
      <c r="J177" s="99" t="s">
        <v>12</v>
      </c>
      <c r="K177" s="100" t="s">
        <v>13</v>
      </c>
    </row>
    <row r="178" spans="1:11" ht="28.8">
      <c r="A178" s="92">
        <f>_xlfn.XLOOKUP(B178,' Lista de Entrevistas'!B:B,' Lista de Entrevistas'!A:A,"")</f>
        <v>21</v>
      </c>
      <c r="B178" s="99" t="s">
        <v>736</v>
      </c>
      <c r="C178" s="97" t="s">
        <v>117</v>
      </c>
      <c r="D178" s="97" t="s">
        <v>199</v>
      </c>
      <c r="E178" s="97" t="s">
        <v>1279</v>
      </c>
      <c r="F178" s="97" t="s">
        <v>1280</v>
      </c>
      <c r="G178" s="97" t="s">
        <v>891</v>
      </c>
      <c r="H178" s="97" t="s">
        <v>890</v>
      </c>
      <c r="I178" s="97" t="s">
        <v>994</v>
      </c>
      <c r="J178" s="97" t="s">
        <v>12</v>
      </c>
      <c r="K178" s="98" t="s">
        <v>8</v>
      </c>
    </row>
    <row r="179" spans="1:11" ht="43.2">
      <c r="A179" s="92">
        <f>_xlfn.XLOOKUP(B179,' Lista de Entrevistas'!B:B,' Lista de Entrevistas'!A:A,"")</f>
        <v>21</v>
      </c>
      <c r="B179" s="99" t="s">
        <v>736</v>
      </c>
      <c r="C179" s="99" t="s">
        <v>117</v>
      </c>
      <c r="D179" s="99" t="s">
        <v>199</v>
      </c>
      <c r="E179" s="99" t="s">
        <v>1281</v>
      </c>
      <c r="F179" s="99" t="s">
        <v>1282</v>
      </c>
      <c r="G179" s="99" t="s">
        <v>824</v>
      </c>
      <c r="H179" s="99" t="s">
        <v>853</v>
      </c>
      <c r="I179" s="99" t="s">
        <v>992</v>
      </c>
      <c r="J179" s="99" t="s">
        <v>17</v>
      </c>
      <c r="K179" s="100" t="s">
        <v>8</v>
      </c>
    </row>
    <row r="180" spans="1:11" ht="43.2">
      <c r="A180" s="92">
        <f>_xlfn.XLOOKUP(B180,' Lista de Entrevistas'!B:B,' Lista de Entrevistas'!A:A,"")</f>
        <v>21</v>
      </c>
      <c r="B180" s="99" t="s">
        <v>736</v>
      </c>
      <c r="C180" s="97" t="s">
        <v>117</v>
      </c>
      <c r="D180" s="97" t="s">
        <v>199</v>
      </c>
      <c r="E180" s="97" t="s">
        <v>1281</v>
      </c>
      <c r="F180" s="97" t="s">
        <v>1282</v>
      </c>
      <c r="G180" s="97" t="s">
        <v>824</v>
      </c>
      <c r="H180" s="97" t="s">
        <v>853</v>
      </c>
      <c r="I180" s="97" t="s">
        <v>988</v>
      </c>
      <c r="J180" s="97" t="s">
        <v>17</v>
      </c>
      <c r="K180" s="98" t="s">
        <v>8</v>
      </c>
    </row>
    <row r="181" spans="1:11" ht="28.8">
      <c r="A181" s="92">
        <f>_xlfn.XLOOKUP(B181,' Lista de Entrevistas'!B:B,' Lista de Entrevistas'!A:A,"")</f>
        <v>21</v>
      </c>
      <c r="B181" s="99" t="s">
        <v>736</v>
      </c>
      <c r="C181" s="99" t="s">
        <v>117</v>
      </c>
      <c r="D181" s="99" t="s">
        <v>199</v>
      </c>
      <c r="E181" s="99" t="s">
        <v>1283</v>
      </c>
      <c r="F181" s="99" t="s">
        <v>1284</v>
      </c>
      <c r="G181" s="99" t="s">
        <v>878</v>
      </c>
      <c r="H181" s="99" t="s">
        <v>850</v>
      </c>
      <c r="I181" s="99" t="s">
        <v>994</v>
      </c>
      <c r="J181" s="99" t="s">
        <v>12</v>
      </c>
      <c r="K181" s="100" t="s">
        <v>8</v>
      </c>
    </row>
    <row r="182" spans="1:11" ht="28.8">
      <c r="A182" s="92">
        <f>_xlfn.XLOOKUP(B182,' Lista de Entrevistas'!B:B,' Lista de Entrevistas'!A:A,"")</f>
        <v>21</v>
      </c>
      <c r="B182" s="99" t="s">
        <v>736</v>
      </c>
      <c r="C182" s="97" t="s">
        <v>117</v>
      </c>
      <c r="D182" s="97" t="s">
        <v>199</v>
      </c>
      <c r="E182" s="97" t="s">
        <v>1283</v>
      </c>
      <c r="F182" s="97" t="s">
        <v>1284</v>
      </c>
      <c r="G182" s="97" t="s">
        <v>878</v>
      </c>
      <c r="H182" s="97" t="s">
        <v>850</v>
      </c>
      <c r="I182" s="97" t="s">
        <v>986</v>
      </c>
      <c r="J182" s="97" t="s">
        <v>12</v>
      </c>
      <c r="K182" s="98" t="s">
        <v>8</v>
      </c>
    </row>
    <row r="183" spans="1:11" ht="43.2">
      <c r="A183" s="92">
        <f>_xlfn.XLOOKUP(B183,' Lista de Entrevistas'!B:B,' Lista de Entrevistas'!A:A,"")</f>
        <v>21</v>
      </c>
      <c r="B183" s="99" t="s">
        <v>736</v>
      </c>
      <c r="C183" s="99" t="s">
        <v>117</v>
      </c>
      <c r="D183" s="99" t="s">
        <v>199</v>
      </c>
      <c r="E183" s="99" t="s">
        <v>1285</v>
      </c>
      <c r="F183" s="99" t="s">
        <v>1286</v>
      </c>
      <c r="G183" s="99" t="s">
        <v>862</v>
      </c>
      <c r="H183" s="99" t="s">
        <v>854</v>
      </c>
      <c r="I183" s="99" t="s">
        <v>978</v>
      </c>
      <c r="J183" s="99" t="s">
        <v>12</v>
      </c>
      <c r="K183" s="100" t="s">
        <v>8</v>
      </c>
    </row>
    <row r="184" spans="1:11" ht="43.2">
      <c r="A184" s="92">
        <f>_xlfn.XLOOKUP(B184,' Lista de Entrevistas'!B:B,' Lista de Entrevistas'!A:A,"")</f>
        <v>21</v>
      </c>
      <c r="B184" s="99" t="s">
        <v>736</v>
      </c>
      <c r="C184" s="97" t="s">
        <v>117</v>
      </c>
      <c r="D184" s="97" t="s">
        <v>199</v>
      </c>
      <c r="E184" s="97" t="s">
        <v>1285</v>
      </c>
      <c r="F184" s="97" t="s">
        <v>1286</v>
      </c>
      <c r="G184" s="97" t="s">
        <v>862</v>
      </c>
      <c r="H184" s="97" t="s">
        <v>854</v>
      </c>
      <c r="I184" s="97" t="s">
        <v>986</v>
      </c>
      <c r="J184" s="97" t="s">
        <v>12</v>
      </c>
      <c r="K184" s="98" t="s">
        <v>8</v>
      </c>
    </row>
    <row r="185" spans="1:11" ht="28.8">
      <c r="A185" s="94">
        <f>_xlfn.XLOOKUP(B185,' Lista de Entrevistas'!B:B,' Lista de Entrevistas'!A:A,"")</f>
        <v>22</v>
      </c>
      <c r="B185" s="99" t="s">
        <v>701</v>
      </c>
      <c r="C185" s="99" t="s">
        <v>90</v>
      </c>
      <c r="D185" s="99" t="s">
        <v>199</v>
      </c>
      <c r="E185" s="99" t="s">
        <v>1187</v>
      </c>
      <c r="F185" s="99" t="s">
        <v>1017</v>
      </c>
      <c r="G185" s="99" t="s">
        <v>862</v>
      </c>
      <c r="H185" s="99" t="s">
        <v>854</v>
      </c>
      <c r="I185" s="99" t="s">
        <v>994</v>
      </c>
      <c r="J185" s="99" t="s">
        <v>17</v>
      </c>
      <c r="K185" s="100" t="s">
        <v>8</v>
      </c>
    </row>
    <row r="186" spans="1:11" ht="28.8">
      <c r="A186" s="92">
        <f>_xlfn.XLOOKUP(B186,' Lista de Entrevistas'!B:B,' Lista de Entrevistas'!A:A,"")</f>
        <v>22</v>
      </c>
      <c r="B186" s="97" t="s">
        <v>701</v>
      </c>
      <c r="C186" s="97" t="s">
        <v>90</v>
      </c>
      <c r="D186" s="97" t="s">
        <v>199</v>
      </c>
      <c r="E186" s="97" t="s">
        <v>1187</v>
      </c>
      <c r="F186" s="97" t="s">
        <v>1017</v>
      </c>
      <c r="G186" s="97" t="s">
        <v>862</v>
      </c>
      <c r="H186" s="97" t="s">
        <v>854</v>
      </c>
      <c r="I186" s="97" t="s">
        <v>986</v>
      </c>
      <c r="J186" s="97" t="s">
        <v>17</v>
      </c>
      <c r="K186" s="98" t="s">
        <v>8</v>
      </c>
    </row>
    <row r="187" spans="1:11" ht="28.8">
      <c r="A187" s="94">
        <f>_xlfn.XLOOKUP(B187,' Lista de Entrevistas'!B:B,' Lista de Entrevistas'!A:A,"")</f>
        <v>22</v>
      </c>
      <c r="B187" s="99" t="s">
        <v>701</v>
      </c>
      <c r="C187" s="99" t="s">
        <v>90</v>
      </c>
      <c r="D187" s="99" t="s">
        <v>199</v>
      </c>
      <c r="E187" s="99" t="s">
        <v>1188</v>
      </c>
      <c r="F187" s="99" t="s">
        <v>1031</v>
      </c>
      <c r="G187" s="99" t="s">
        <v>873</v>
      </c>
      <c r="H187" s="97" t="s">
        <v>890</v>
      </c>
      <c r="I187" s="99" t="s">
        <v>984</v>
      </c>
      <c r="J187" s="99" t="s">
        <v>17</v>
      </c>
      <c r="K187" s="100" t="s">
        <v>8</v>
      </c>
    </row>
    <row r="188" spans="1:11" ht="28.8">
      <c r="A188" s="92">
        <f>_xlfn.XLOOKUP(B188,' Lista de Entrevistas'!B:B,' Lista de Entrevistas'!A:A,"")</f>
        <v>22</v>
      </c>
      <c r="B188" s="97" t="s">
        <v>701</v>
      </c>
      <c r="C188" s="97" t="s">
        <v>90</v>
      </c>
      <c r="D188" s="97" t="s">
        <v>199</v>
      </c>
      <c r="E188" s="97" t="s">
        <v>1188</v>
      </c>
      <c r="F188" s="97" t="s">
        <v>1031</v>
      </c>
      <c r="G188" s="97" t="s">
        <v>873</v>
      </c>
      <c r="H188" s="97" t="s">
        <v>890</v>
      </c>
      <c r="I188" s="97" t="s">
        <v>986</v>
      </c>
      <c r="J188" s="97" t="s">
        <v>17</v>
      </c>
      <c r="K188" s="98" t="s">
        <v>8</v>
      </c>
    </row>
    <row r="189" spans="1:11" ht="28.8">
      <c r="A189" s="94">
        <f>_xlfn.XLOOKUP(B189,' Lista de Entrevistas'!B:B,' Lista de Entrevistas'!A:A,"")</f>
        <v>22</v>
      </c>
      <c r="B189" s="99" t="s">
        <v>701</v>
      </c>
      <c r="C189" s="99" t="s">
        <v>90</v>
      </c>
      <c r="D189" s="99" t="s">
        <v>199</v>
      </c>
      <c r="E189" s="99" t="s">
        <v>1188</v>
      </c>
      <c r="F189" s="99" t="s">
        <v>1031</v>
      </c>
      <c r="G189" s="99" t="s">
        <v>873</v>
      </c>
      <c r="H189" s="97" t="s">
        <v>890</v>
      </c>
      <c r="I189" s="99" t="s">
        <v>992</v>
      </c>
      <c r="J189" s="99" t="s">
        <v>17</v>
      </c>
      <c r="K189" s="100" t="s">
        <v>8</v>
      </c>
    </row>
    <row r="190" spans="1:11" ht="28.8">
      <c r="A190" s="92">
        <f>_xlfn.XLOOKUP(B190,' Lista de Entrevistas'!B:B,' Lista de Entrevistas'!A:A,"")</f>
        <v>23</v>
      </c>
      <c r="B190" s="97" t="s">
        <v>720</v>
      </c>
      <c r="C190" s="97" t="s">
        <v>90</v>
      </c>
      <c r="D190" s="97" t="s">
        <v>199</v>
      </c>
      <c r="E190" s="97" t="s">
        <v>1189</v>
      </c>
      <c r="F190" s="97" t="s">
        <v>1110</v>
      </c>
      <c r="G190" s="97" t="s">
        <v>874</v>
      </c>
      <c r="H190" s="97" t="s">
        <v>890</v>
      </c>
      <c r="I190" s="97" t="s">
        <v>984</v>
      </c>
      <c r="J190" s="97" t="s">
        <v>17</v>
      </c>
      <c r="K190" s="98" t="s">
        <v>8</v>
      </c>
    </row>
    <row r="191" spans="1:11" ht="28.8">
      <c r="A191" s="94">
        <f>_xlfn.XLOOKUP(B191,' Lista de Entrevistas'!B:B,' Lista de Entrevistas'!A:A,"")</f>
        <v>23</v>
      </c>
      <c r="B191" s="99" t="s">
        <v>720</v>
      </c>
      <c r="C191" s="99" t="s">
        <v>90</v>
      </c>
      <c r="D191" s="99" t="s">
        <v>199</v>
      </c>
      <c r="E191" s="99" t="s">
        <v>1189</v>
      </c>
      <c r="F191" s="99" t="s">
        <v>1110</v>
      </c>
      <c r="G191" s="99" t="s">
        <v>874</v>
      </c>
      <c r="H191" s="97" t="s">
        <v>890</v>
      </c>
      <c r="I191" s="99" t="s">
        <v>978</v>
      </c>
      <c r="J191" s="99" t="s">
        <v>17</v>
      </c>
      <c r="K191" s="100" t="s">
        <v>8</v>
      </c>
    </row>
    <row r="192" spans="1:11" ht="28.8">
      <c r="A192" s="92">
        <f>_xlfn.XLOOKUP(B192,' Lista de Entrevistas'!B:B,' Lista de Entrevistas'!A:A,"")</f>
        <v>23</v>
      </c>
      <c r="B192" s="97" t="s">
        <v>720</v>
      </c>
      <c r="C192" s="97" t="s">
        <v>90</v>
      </c>
      <c r="D192" s="97" t="s">
        <v>199</v>
      </c>
      <c r="E192" s="97" t="s">
        <v>1190</v>
      </c>
      <c r="F192" s="97" t="s">
        <v>1048</v>
      </c>
      <c r="G192" s="97" t="s">
        <v>883</v>
      </c>
      <c r="H192" s="97" t="s">
        <v>853</v>
      </c>
      <c r="I192" s="97" t="s">
        <v>994</v>
      </c>
      <c r="J192" s="97" t="s">
        <v>12</v>
      </c>
      <c r="K192" s="98" t="s">
        <v>8</v>
      </c>
    </row>
    <row r="193" spans="1:11" ht="28.8">
      <c r="A193" s="94">
        <f>_xlfn.XLOOKUP(B193,' Lista de Entrevistas'!B:B,' Lista de Entrevistas'!A:A,"")</f>
        <v>23</v>
      </c>
      <c r="B193" s="99" t="s">
        <v>720</v>
      </c>
      <c r="C193" s="99" t="s">
        <v>90</v>
      </c>
      <c r="D193" s="99" t="s">
        <v>199</v>
      </c>
      <c r="E193" s="99" t="s">
        <v>1190</v>
      </c>
      <c r="F193" s="99" t="s">
        <v>1048</v>
      </c>
      <c r="G193" s="99" t="s">
        <v>883</v>
      </c>
      <c r="H193" s="99" t="s">
        <v>853</v>
      </c>
      <c r="I193" s="99" t="s">
        <v>988</v>
      </c>
      <c r="J193" s="99" t="s">
        <v>12</v>
      </c>
      <c r="K193" s="100" t="s">
        <v>8</v>
      </c>
    </row>
    <row r="194" spans="1:11" ht="28.8">
      <c r="A194" s="92">
        <f>_xlfn.XLOOKUP(B194,' Lista de Entrevistas'!B:B,' Lista de Entrevistas'!A:A,"")</f>
        <v>24</v>
      </c>
      <c r="B194" s="97" t="s">
        <v>733</v>
      </c>
      <c r="C194" s="97" t="s">
        <v>90</v>
      </c>
      <c r="D194" s="97" t="s">
        <v>199</v>
      </c>
      <c r="E194" s="97" t="s">
        <v>1191</v>
      </c>
      <c r="F194" s="97" t="s">
        <v>1066</v>
      </c>
      <c r="G194" s="97" t="s">
        <v>885</v>
      </c>
      <c r="H194" s="97" t="s">
        <v>28</v>
      </c>
      <c r="I194" s="97" t="s">
        <v>994</v>
      </c>
      <c r="J194" s="97" t="s">
        <v>17</v>
      </c>
      <c r="K194" s="98" t="s">
        <v>8</v>
      </c>
    </row>
    <row r="195" spans="1:11" ht="28.8">
      <c r="A195" s="94">
        <f>_xlfn.XLOOKUP(B195,' Lista de Entrevistas'!B:B,' Lista de Entrevistas'!A:A,"")</f>
        <v>24</v>
      </c>
      <c r="B195" s="99" t="s">
        <v>733</v>
      </c>
      <c r="C195" s="99" t="s">
        <v>90</v>
      </c>
      <c r="D195" s="99" t="s">
        <v>199</v>
      </c>
      <c r="E195" s="99" t="s">
        <v>1191</v>
      </c>
      <c r="F195" s="99" t="s">
        <v>1066</v>
      </c>
      <c r="G195" s="99" t="s">
        <v>885</v>
      </c>
      <c r="H195" s="99" t="s">
        <v>28</v>
      </c>
      <c r="I195" s="99" t="s">
        <v>986</v>
      </c>
      <c r="J195" s="99" t="s">
        <v>17</v>
      </c>
      <c r="K195" s="100" t="s">
        <v>8</v>
      </c>
    </row>
    <row r="196" spans="1:11" ht="28.8">
      <c r="A196" s="92">
        <f>_xlfn.XLOOKUP(B196,' Lista de Entrevistas'!B:B,' Lista de Entrevistas'!A:A,"")</f>
        <v>24</v>
      </c>
      <c r="B196" s="97" t="s">
        <v>733</v>
      </c>
      <c r="C196" s="97" t="s">
        <v>90</v>
      </c>
      <c r="D196" s="97" t="s">
        <v>199</v>
      </c>
      <c r="E196" s="97" t="s">
        <v>1192</v>
      </c>
      <c r="F196" s="97" t="s">
        <v>1052</v>
      </c>
      <c r="G196" s="97" t="s">
        <v>885</v>
      </c>
      <c r="H196" s="97" t="s">
        <v>28</v>
      </c>
      <c r="I196" s="97" t="s">
        <v>994</v>
      </c>
      <c r="J196" s="97" t="s">
        <v>21</v>
      </c>
      <c r="K196" s="98" t="s">
        <v>8</v>
      </c>
    </row>
    <row r="197" spans="1:11" ht="28.8">
      <c r="A197" s="94">
        <f>_xlfn.XLOOKUP(B197,' Lista de Entrevistas'!B:B,' Lista de Entrevistas'!A:A,"")</f>
        <v>24</v>
      </c>
      <c r="B197" s="99" t="s">
        <v>733</v>
      </c>
      <c r="C197" s="99" t="s">
        <v>90</v>
      </c>
      <c r="D197" s="99" t="s">
        <v>199</v>
      </c>
      <c r="E197" s="99" t="s">
        <v>1192</v>
      </c>
      <c r="F197" s="99" t="s">
        <v>1052</v>
      </c>
      <c r="G197" s="99" t="s">
        <v>885</v>
      </c>
      <c r="H197" s="99" t="s">
        <v>28</v>
      </c>
      <c r="I197" s="99" t="s">
        <v>986</v>
      </c>
      <c r="J197" s="99" t="s">
        <v>21</v>
      </c>
      <c r="K197" s="100" t="s">
        <v>8</v>
      </c>
    </row>
    <row r="198" spans="1:11" ht="28.8">
      <c r="A198" s="92">
        <f>_xlfn.XLOOKUP(B198,' Lista de Entrevistas'!B:B,' Lista de Entrevistas'!A:A,"")</f>
        <v>25</v>
      </c>
      <c r="B198" s="97" t="s">
        <v>516</v>
      </c>
      <c r="C198" s="97" t="s">
        <v>90</v>
      </c>
      <c r="D198" s="97" t="s">
        <v>145</v>
      </c>
      <c r="E198" s="97" t="s">
        <v>1193</v>
      </c>
      <c r="F198" s="97" t="s">
        <v>1038</v>
      </c>
      <c r="G198" s="97" t="s">
        <v>891</v>
      </c>
      <c r="H198" s="97" t="s">
        <v>890</v>
      </c>
      <c r="I198" s="97" t="s">
        <v>994</v>
      </c>
      <c r="J198" s="97" t="s">
        <v>17</v>
      </c>
      <c r="K198" s="98" t="s">
        <v>8</v>
      </c>
    </row>
    <row r="199" spans="1:11" ht="28.8">
      <c r="A199" s="94">
        <f>_xlfn.XLOOKUP(B199,' Lista de Entrevistas'!B:B,' Lista de Entrevistas'!A:A,"")</f>
        <v>25</v>
      </c>
      <c r="B199" s="99" t="s">
        <v>516</v>
      </c>
      <c r="C199" s="99" t="s">
        <v>90</v>
      </c>
      <c r="D199" s="99" t="s">
        <v>145</v>
      </c>
      <c r="E199" s="99" t="s">
        <v>1193</v>
      </c>
      <c r="F199" s="99" t="s">
        <v>1038</v>
      </c>
      <c r="G199" s="99" t="s">
        <v>891</v>
      </c>
      <c r="H199" s="97" t="s">
        <v>890</v>
      </c>
      <c r="I199" s="99" t="s">
        <v>984</v>
      </c>
      <c r="J199" s="99" t="s">
        <v>17</v>
      </c>
      <c r="K199" s="100" t="s">
        <v>8</v>
      </c>
    </row>
    <row r="200" spans="1:11" ht="28.8">
      <c r="A200" s="92">
        <f>_xlfn.XLOOKUP(B200,' Lista de Entrevistas'!B:B,' Lista de Entrevistas'!A:A,"")</f>
        <v>25</v>
      </c>
      <c r="B200" s="97" t="s">
        <v>516</v>
      </c>
      <c r="C200" s="97" t="s">
        <v>90</v>
      </c>
      <c r="D200" s="97" t="s">
        <v>145</v>
      </c>
      <c r="E200" s="97" t="s">
        <v>1194</v>
      </c>
      <c r="F200" s="97" t="s">
        <v>1052</v>
      </c>
      <c r="G200" s="97" t="s">
        <v>885</v>
      </c>
      <c r="H200" s="97" t="s">
        <v>28</v>
      </c>
      <c r="I200" s="97" t="s">
        <v>994</v>
      </c>
      <c r="J200" s="97" t="s">
        <v>21</v>
      </c>
      <c r="K200" s="98" t="s">
        <v>8</v>
      </c>
    </row>
    <row r="201" spans="1:11" ht="28.8">
      <c r="A201" s="94">
        <f>_xlfn.XLOOKUP(B201,' Lista de Entrevistas'!B:B,' Lista de Entrevistas'!A:A,"")</f>
        <v>25</v>
      </c>
      <c r="B201" s="99" t="s">
        <v>516</v>
      </c>
      <c r="C201" s="99" t="s">
        <v>90</v>
      </c>
      <c r="D201" s="99" t="s">
        <v>145</v>
      </c>
      <c r="E201" s="99" t="s">
        <v>1194</v>
      </c>
      <c r="F201" s="99" t="s">
        <v>1052</v>
      </c>
      <c r="G201" s="99" t="s">
        <v>885</v>
      </c>
      <c r="H201" s="99" t="s">
        <v>28</v>
      </c>
      <c r="I201" s="99" t="s">
        <v>986</v>
      </c>
      <c r="J201" s="99" t="s">
        <v>21</v>
      </c>
      <c r="K201" s="100" t="s">
        <v>8</v>
      </c>
    </row>
    <row r="202" spans="1:11" ht="28.8">
      <c r="A202" s="92">
        <f>_xlfn.XLOOKUP(B202,' Lista de Entrevistas'!B:B,' Lista de Entrevistas'!A:A,"")</f>
        <v>26</v>
      </c>
      <c r="B202" s="97" t="s">
        <v>512</v>
      </c>
      <c r="C202" s="97" t="s">
        <v>90</v>
      </c>
      <c r="D202" s="97" t="s">
        <v>145</v>
      </c>
      <c r="E202" s="97" t="s">
        <v>1195</v>
      </c>
      <c r="F202" s="97" t="s">
        <v>1017</v>
      </c>
      <c r="G202" s="97" t="s">
        <v>862</v>
      </c>
      <c r="H202" s="97" t="s">
        <v>854</v>
      </c>
      <c r="I202" s="97" t="s">
        <v>994</v>
      </c>
      <c r="J202" s="97" t="s">
        <v>17</v>
      </c>
      <c r="K202" s="98" t="s">
        <v>8</v>
      </c>
    </row>
    <row r="203" spans="1:11" ht="28.8">
      <c r="A203" s="94">
        <f>_xlfn.XLOOKUP(B203,' Lista de Entrevistas'!B:B,' Lista de Entrevistas'!A:A,"")</f>
        <v>26</v>
      </c>
      <c r="B203" s="99" t="s">
        <v>512</v>
      </c>
      <c r="C203" s="99" t="s">
        <v>90</v>
      </c>
      <c r="D203" s="99" t="s">
        <v>145</v>
      </c>
      <c r="E203" s="99" t="s">
        <v>1195</v>
      </c>
      <c r="F203" s="99" t="s">
        <v>1017</v>
      </c>
      <c r="G203" s="99" t="s">
        <v>862</v>
      </c>
      <c r="H203" s="99" t="s">
        <v>854</v>
      </c>
      <c r="I203" s="99" t="s">
        <v>986</v>
      </c>
      <c r="J203" s="99" t="s">
        <v>17</v>
      </c>
      <c r="K203" s="100" t="s">
        <v>8</v>
      </c>
    </row>
    <row r="204" spans="1:11" ht="28.8">
      <c r="A204" s="92">
        <f>_xlfn.XLOOKUP(B204,' Lista de Entrevistas'!B:B,' Lista de Entrevistas'!A:A,"")</f>
        <v>26</v>
      </c>
      <c r="B204" s="97" t="s">
        <v>512</v>
      </c>
      <c r="C204" s="97" t="s">
        <v>90</v>
      </c>
      <c r="D204" s="97" t="s">
        <v>145</v>
      </c>
      <c r="E204" s="97" t="s">
        <v>1196</v>
      </c>
      <c r="F204" s="97" t="s">
        <v>1048</v>
      </c>
      <c r="G204" s="97" t="s">
        <v>883</v>
      </c>
      <c r="H204" s="97" t="s">
        <v>853</v>
      </c>
      <c r="I204" s="97" t="s">
        <v>994</v>
      </c>
      <c r="J204" s="97" t="s">
        <v>17</v>
      </c>
      <c r="K204" s="98" t="s">
        <v>8</v>
      </c>
    </row>
    <row r="205" spans="1:11" ht="28.8">
      <c r="A205" s="94">
        <f>_xlfn.XLOOKUP(B205,' Lista de Entrevistas'!B:B,' Lista de Entrevistas'!A:A,"")</f>
        <v>26</v>
      </c>
      <c r="B205" s="99" t="s">
        <v>512</v>
      </c>
      <c r="C205" s="99" t="s">
        <v>90</v>
      </c>
      <c r="D205" s="99" t="s">
        <v>145</v>
      </c>
      <c r="E205" s="99" t="s">
        <v>1196</v>
      </c>
      <c r="F205" s="99" t="s">
        <v>1048</v>
      </c>
      <c r="G205" s="99" t="s">
        <v>883</v>
      </c>
      <c r="H205" s="99" t="s">
        <v>853</v>
      </c>
      <c r="I205" s="99" t="s">
        <v>988</v>
      </c>
      <c r="J205" s="99" t="s">
        <v>17</v>
      </c>
      <c r="K205" s="100" t="s">
        <v>8</v>
      </c>
    </row>
    <row r="206" spans="1:11" ht="28.8">
      <c r="A206" s="92">
        <f>_xlfn.XLOOKUP(B206,' Lista de Entrevistas'!B:B,' Lista de Entrevistas'!A:A,"")</f>
        <v>27</v>
      </c>
      <c r="B206" s="97" t="s">
        <v>529</v>
      </c>
      <c r="C206" s="97" t="s">
        <v>90</v>
      </c>
      <c r="D206" s="97" t="s">
        <v>145</v>
      </c>
      <c r="E206" s="97" t="s">
        <v>1197</v>
      </c>
      <c r="F206" s="97" t="s">
        <v>1019</v>
      </c>
      <c r="G206" s="97" t="s">
        <v>877</v>
      </c>
      <c r="H206" s="97" t="s">
        <v>850</v>
      </c>
      <c r="I206" s="97" t="s">
        <v>984</v>
      </c>
      <c r="J206" s="97" t="s">
        <v>21</v>
      </c>
      <c r="K206" s="98" t="s">
        <v>8</v>
      </c>
    </row>
    <row r="207" spans="1:11" ht="28.8">
      <c r="A207" s="94">
        <f>_xlfn.XLOOKUP(B207,' Lista de Entrevistas'!B:B,' Lista de Entrevistas'!A:A,"")</f>
        <v>27</v>
      </c>
      <c r="B207" s="99" t="s">
        <v>529</v>
      </c>
      <c r="C207" s="99" t="s">
        <v>90</v>
      </c>
      <c r="D207" s="99" t="s">
        <v>145</v>
      </c>
      <c r="E207" s="99" t="s">
        <v>1197</v>
      </c>
      <c r="F207" s="99" t="s">
        <v>1019</v>
      </c>
      <c r="G207" s="99" t="s">
        <v>877</v>
      </c>
      <c r="H207" s="99" t="s">
        <v>850</v>
      </c>
      <c r="I207" s="99" t="s">
        <v>986</v>
      </c>
      <c r="J207" s="99" t="s">
        <v>21</v>
      </c>
      <c r="K207" s="100" t="s">
        <v>8</v>
      </c>
    </row>
    <row r="208" spans="1:11" ht="28.8">
      <c r="A208" s="92">
        <f>_xlfn.XLOOKUP(B208,' Lista de Entrevistas'!B:B,' Lista de Entrevistas'!A:A,"")</f>
        <v>27</v>
      </c>
      <c r="B208" s="97" t="s">
        <v>529</v>
      </c>
      <c r="C208" s="97" t="s">
        <v>90</v>
      </c>
      <c r="D208" s="97" t="s">
        <v>145</v>
      </c>
      <c r="E208" s="97" t="s">
        <v>1197</v>
      </c>
      <c r="F208" s="97" t="s">
        <v>1019</v>
      </c>
      <c r="G208" s="97" t="s">
        <v>877</v>
      </c>
      <c r="H208" s="97" t="s">
        <v>850</v>
      </c>
      <c r="I208" s="97" t="s">
        <v>982</v>
      </c>
      <c r="J208" s="97" t="s">
        <v>21</v>
      </c>
      <c r="K208" s="98" t="s">
        <v>8</v>
      </c>
    </row>
    <row r="209" spans="1:11" ht="28.8">
      <c r="A209" s="94">
        <f>_xlfn.XLOOKUP(B209,' Lista de Entrevistas'!B:B,' Lista de Entrevistas'!A:A,"")</f>
        <v>27</v>
      </c>
      <c r="B209" s="99" t="s">
        <v>529</v>
      </c>
      <c r="C209" s="99" t="s">
        <v>90</v>
      </c>
      <c r="D209" s="99" t="s">
        <v>145</v>
      </c>
      <c r="E209" s="99" t="s">
        <v>1198</v>
      </c>
      <c r="F209" s="99" t="s">
        <v>1031</v>
      </c>
      <c r="G209" s="99" t="s">
        <v>873</v>
      </c>
      <c r="H209" s="97" t="s">
        <v>890</v>
      </c>
      <c r="I209" s="99" t="s">
        <v>984</v>
      </c>
      <c r="J209" s="99" t="s">
        <v>17</v>
      </c>
      <c r="K209" s="100" t="s">
        <v>8</v>
      </c>
    </row>
    <row r="210" spans="1:11" ht="28.8">
      <c r="A210" s="92">
        <f>_xlfn.XLOOKUP(B210,' Lista de Entrevistas'!B:B,' Lista de Entrevistas'!A:A,"")</f>
        <v>27</v>
      </c>
      <c r="B210" s="97" t="s">
        <v>529</v>
      </c>
      <c r="C210" s="97" t="s">
        <v>90</v>
      </c>
      <c r="D210" s="97" t="s">
        <v>145</v>
      </c>
      <c r="E210" s="97" t="s">
        <v>1198</v>
      </c>
      <c r="F210" s="97" t="s">
        <v>1031</v>
      </c>
      <c r="G210" s="97" t="s">
        <v>873</v>
      </c>
      <c r="H210" s="97" t="s">
        <v>890</v>
      </c>
      <c r="I210" s="97" t="s">
        <v>986</v>
      </c>
      <c r="J210" s="97" t="s">
        <v>17</v>
      </c>
      <c r="K210" s="98" t="s">
        <v>8</v>
      </c>
    </row>
    <row r="211" spans="1:11" ht="28.8">
      <c r="A211" s="94">
        <f>_xlfn.XLOOKUP(B211,' Lista de Entrevistas'!B:B,' Lista de Entrevistas'!A:A,"")</f>
        <v>27</v>
      </c>
      <c r="B211" s="99" t="s">
        <v>529</v>
      </c>
      <c r="C211" s="99" t="s">
        <v>90</v>
      </c>
      <c r="D211" s="99" t="s">
        <v>145</v>
      </c>
      <c r="E211" s="99" t="s">
        <v>1198</v>
      </c>
      <c r="F211" s="99" t="s">
        <v>1031</v>
      </c>
      <c r="G211" s="99" t="s">
        <v>873</v>
      </c>
      <c r="H211" s="97" t="s">
        <v>890</v>
      </c>
      <c r="I211" s="99" t="s">
        <v>992</v>
      </c>
      <c r="J211" s="99" t="s">
        <v>17</v>
      </c>
      <c r="K211" s="100" t="s">
        <v>8</v>
      </c>
    </row>
    <row r="212" spans="1:11" ht="28.8">
      <c r="A212" s="92">
        <f>_xlfn.XLOOKUP(B212,' Lista de Entrevistas'!B:B,' Lista de Entrevistas'!A:A,"")</f>
        <v>28</v>
      </c>
      <c r="B212" s="97" t="s">
        <v>458</v>
      </c>
      <c r="C212" s="97" t="s">
        <v>90</v>
      </c>
      <c r="D212" s="97" t="s">
        <v>145</v>
      </c>
      <c r="E212" s="97" t="s">
        <v>1199</v>
      </c>
      <c r="F212" s="97" t="s">
        <v>1110</v>
      </c>
      <c r="G212" s="97" t="s">
        <v>874</v>
      </c>
      <c r="H212" s="97" t="s">
        <v>890</v>
      </c>
      <c r="I212" s="97" t="s">
        <v>984</v>
      </c>
      <c r="J212" s="97" t="s">
        <v>17</v>
      </c>
      <c r="K212" s="98" t="s">
        <v>8</v>
      </c>
    </row>
    <row r="213" spans="1:11" ht="28.8">
      <c r="A213" s="94">
        <f>_xlfn.XLOOKUP(B213,' Lista de Entrevistas'!B:B,' Lista de Entrevistas'!A:A,"")</f>
        <v>28</v>
      </c>
      <c r="B213" s="99" t="s">
        <v>458</v>
      </c>
      <c r="C213" s="99" t="s">
        <v>90</v>
      </c>
      <c r="D213" s="99" t="s">
        <v>145</v>
      </c>
      <c r="E213" s="99" t="s">
        <v>1199</v>
      </c>
      <c r="F213" s="99" t="s">
        <v>1110</v>
      </c>
      <c r="G213" s="99" t="s">
        <v>874</v>
      </c>
      <c r="H213" s="97" t="s">
        <v>890</v>
      </c>
      <c r="I213" s="99" t="s">
        <v>978</v>
      </c>
      <c r="J213" s="99" t="s">
        <v>17</v>
      </c>
      <c r="K213" s="100" t="s">
        <v>8</v>
      </c>
    </row>
    <row r="214" spans="1:11" ht="28.8">
      <c r="A214" s="92">
        <f>_xlfn.XLOOKUP(B214,' Lista de Entrevistas'!B:B,' Lista de Entrevistas'!A:A,"")</f>
        <v>28</v>
      </c>
      <c r="B214" s="97" t="s">
        <v>458</v>
      </c>
      <c r="C214" s="97" t="s">
        <v>90</v>
      </c>
      <c r="D214" s="97" t="s">
        <v>145</v>
      </c>
      <c r="E214" s="97" t="s">
        <v>1200</v>
      </c>
      <c r="F214" s="97" t="s">
        <v>1052</v>
      </c>
      <c r="G214" s="97" t="s">
        <v>885</v>
      </c>
      <c r="H214" s="97" t="s">
        <v>28</v>
      </c>
      <c r="I214" s="97" t="s">
        <v>994</v>
      </c>
      <c r="J214" s="97" t="s">
        <v>21</v>
      </c>
      <c r="K214" s="98" t="s">
        <v>8</v>
      </c>
    </row>
    <row r="215" spans="1:11" ht="28.8">
      <c r="A215" s="94">
        <f>_xlfn.XLOOKUP(B215,' Lista de Entrevistas'!B:B,' Lista de Entrevistas'!A:A,"")</f>
        <v>28</v>
      </c>
      <c r="B215" s="99" t="s">
        <v>458</v>
      </c>
      <c r="C215" s="99" t="s">
        <v>90</v>
      </c>
      <c r="D215" s="99" t="s">
        <v>145</v>
      </c>
      <c r="E215" s="99" t="s">
        <v>1200</v>
      </c>
      <c r="F215" s="99" t="s">
        <v>1052</v>
      </c>
      <c r="G215" s="99" t="s">
        <v>885</v>
      </c>
      <c r="H215" s="99" t="s">
        <v>28</v>
      </c>
      <c r="I215" s="99" t="s">
        <v>986</v>
      </c>
      <c r="J215" s="99" t="s">
        <v>21</v>
      </c>
      <c r="K215" s="100" t="s">
        <v>8</v>
      </c>
    </row>
    <row r="216" spans="1:11" ht="28.8">
      <c r="A216" s="92">
        <f>_xlfn.XLOOKUP(B216,' Lista de Entrevistas'!B:B,' Lista de Entrevistas'!A:A,"")</f>
        <v>29</v>
      </c>
      <c r="B216" s="97" t="s">
        <v>786</v>
      </c>
      <c r="C216" s="97" t="s">
        <v>90</v>
      </c>
      <c r="D216" s="97" t="s">
        <v>199</v>
      </c>
      <c r="E216" s="97" t="s">
        <v>1201</v>
      </c>
      <c r="F216" s="97" t="s">
        <v>1017</v>
      </c>
      <c r="G216" s="97" t="s">
        <v>862</v>
      </c>
      <c r="H216" s="97" t="s">
        <v>854</v>
      </c>
      <c r="I216" s="97" t="s">
        <v>994</v>
      </c>
      <c r="J216" s="97" t="s">
        <v>17</v>
      </c>
      <c r="K216" s="98" t="s">
        <v>8</v>
      </c>
    </row>
    <row r="217" spans="1:11" ht="28.8">
      <c r="A217" s="94">
        <f>_xlfn.XLOOKUP(B217,' Lista de Entrevistas'!B:B,' Lista de Entrevistas'!A:A,"")</f>
        <v>29</v>
      </c>
      <c r="B217" s="99" t="s">
        <v>786</v>
      </c>
      <c r="C217" s="99" t="s">
        <v>90</v>
      </c>
      <c r="D217" s="99" t="s">
        <v>199</v>
      </c>
      <c r="E217" s="99" t="s">
        <v>1201</v>
      </c>
      <c r="F217" s="99" t="s">
        <v>1017</v>
      </c>
      <c r="G217" s="99" t="s">
        <v>862</v>
      </c>
      <c r="H217" s="99" t="s">
        <v>854</v>
      </c>
      <c r="I217" s="99" t="s">
        <v>986</v>
      </c>
      <c r="J217" s="99" t="s">
        <v>17</v>
      </c>
      <c r="K217" s="100" t="s">
        <v>8</v>
      </c>
    </row>
    <row r="218" spans="1:11" ht="28.8">
      <c r="A218" s="92">
        <f>_xlfn.XLOOKUP(B218,' Lista de Entrevistas'!B:B,' Lista de Entrevistas'!A:A,"")</f>
        <v>29</v>
      </c>
      <c r="B218" s="97" t="s">
        <v>786</v>
      </c>
      <c r="C218" s="97" t="s">
        <v>90</v>
      </c>
      <c r="D218" s="97" t="s">
        <v>199</v>
      </c>
      <c r="E218" s="97" t="s">
        <v>1202</v>
      </c>
      <c r="F218" s="97" t="s">
        <v>1031</v>
      </c>
      <c r="G218" s="97" t="s">
        <v>873</v>
      </c>
      <c r="H218" s="97" t="s">
        <v>890</v>
      </c>
      <c r="I218" s="97" t="s">
        <v>984</v>
      </c>
      <c r="J218" s="97" t="s">
        <v>17</v>
      </c>
      <c r="K218" s="98" t="s">
        <v>8</v>
      </c>
    </row>
    <row r="219" spans="1:11" ht="28.8">
      <c r="A219" s="94">
        <f>_xlfn.XLOOKUP(B219,' Lista de Entrevistas'!B:B,' Lista de Entrevistas'!A:A,"")</f>
        <v>29</v>
      </c>
      <c r="B219" s="99" t="s">
        <v>786</v>
      </c>
      <c r="C219" s="99" t="s">
        <v>90</v>
      </c>
      <c r="D219" s="99" t="s">
        <v>199</v>
      </c>
      <c r="E219" s="99" t="s">
        <v>1202</v>
      </c>
      <c r="F219" s="99" t="s">
        <v>1031</v>
      </c>
      <c r="G219" s="99" t="s">
        <v>873</v>
      </c>
      <c r="H219" s="97" t="s">
        <v>890</v>
      </c>
      <c r="I219" s="99" t="s">
        <v>986</v>
      </c>
      <c r="J219" s="99" t="s">
        <v>17</v>
      </c>
      <c r="K219" s="100" t="s">
        <v>8</v>
      </c>
    </row>
    <row r="220" spans="1:11" ht="28.8">
      <c r="A220" s="92">
        <f>_xlfn.XLOOKUP(B220,' Lista de Entrevistas'!B:B,' Lista de Entrevistas'!A:A,"")</f>
        <v>29</v>
      </c>
      <c r="B220" s="97" t="s">
        <v>786</v>
      </c>
      <c r="C220" s="97" t="s">
        <v>90</v>
      </c>
      <c r="D220" s="97" t="s">
        <v>199</v>
      </c>
      <c r="E220" s="97" t="s">
        <v>1202</v>
      </c>
      <c r="F220" s="97" t="s">
        <v>1031</v>
      </c>
      <c r="G220" s="97" t="s">
        <v>873</v>
      </c>
      <c r="H220" s="97" t="s">
        <v>890</v>
      </c>
      <c r="I220" s="97" t="s">
        <v>992</v>
      </c>
      <c r="J220" s="97" t="s">
        <v>17</v>
      </c>
      <c r="K220" s="98" t="s">
        <v>8</v>
      </c>
    </row>
    <row r="221" spans="1:11" ht="28.8">
      <c r="A221" s="94">
        <f>_xlfn.XLOOKUP(B221,' Lista de Entrevistas'!B:B,' Lista de Entrevistas'!A:A,"")</f>
        <v>30</v>
      </c>
      <c r="B221" s="99" t="s">
        <v>454</v>
      </c>
      <c r="C221" s="99" t="s">
        <v>83</v>
      </c>
      <c r="D221" s="99" t="s">
        <v>145</v>
      </c>
      <c r="E221" s="99" t="s">
        <v>1203</v>
      </c>
      <c r="F221" s="99" t="s">
        <v>1066</v>
      </c>
      <c r="G221" s="99" t="s">
        <v>885</v>
      </c>
      <c r="H221" s="99" t="s">
        <v>28</v>
      </c>
      <c r="I221" s="99" t="s">
        <v>994</v>
      </c>
      <c r="J221" s="99" t="s">
        <v>17</v>
      </c>
      <c r="K221" s="100" t="s">
        <v>8</v>
      </c>
    </row>
    <row r="222" spans="1:11" ht="28.8">
      <c r="A222" s="92">
        <f>_xlfn.XLOOKUP(B222,' Lista de Entrevistas'!B:B,' Lista de Entrevistas'!A:A,"")</f>
        <v>30</v>
      </c>
      <c r="B222" s="97" t="s">
        <v>454</v>
      </c>
      <c r="C222" s="97" t="s">
        <v>83</v>
      </c>
      <c r="D222" s="97" t="s">
        <v>145</v>
      </c>
      <c r="E222" s="97" t="s">
        <v>1203</v>
      </c>
      <c r="F222" s="97" t="s">
        <v>1066</v>
      </c>
      <c r="G222" s="97" t="s">
        <v>885</v>
      </c>
      <c r="H222" s="97" t="s">
        <v>28</v>
      </c>
      <c r="I222" s="97" t="s">
        <v>986</v>
      </c>
      <c r="J222" s="97" t="s">
        <v>17</v>
      </c>
      <c r="K222" s="98" t="s">
        <v>8</v>
      </c>
    </row>
    <row r="223" spans="1:11" ht="28.8">
      <c r="A223" s="94">
        <f>_xlfn.XLOOKUP(B223,' Lista de Entrevistas'!B:B,' Lista de Entrevistas'!A:A,"")</f>
        <v>31</v>
      </c>
      <c r="B223" s="99" t="s">
        <v>710</v>
      </c>
      <c r="C223" s="99" t="s">
        <v>90</v>
      </c>
      <c r="D223" s="99" t="s">
        <v>199</v>
      </c>
      <c r="E223" s="99" t="s">
        <v>1204</v>
      </c>
      <c r="F223" s="99" t="s">
        <v>1017</v>
      </c>
      <c r="G223" s="99" t="s">
        <v>862</v>
      </c>
      <c r="H223" s="99" t="s">
        <v>854</v>
      </c>
      <c r="I223" s="99" t="s">
        <v>994</v>
      </c>
      <c r="J223" s="99" t="s">
        <v>17</v>
      </c>
      <c r="K223" s="100" t="s">
        <v>8</v>
      </c>
    </row>
    <row r="224" spans="1:11" ht="28.8">
      <c r="A224" s="92">
        <f>_xlfn.XLOOKUP(B224,' Lista de Entrevistas'!B:B,' Lista de Entrevistas'!A:A,"")</f>
        <v>31</v>
      </c>
      <c r="B224" s="97" t="s">
        <v>710</v>
      </c>
      <c r="C224" s="97" t="s">
        <v>90</v>
      </c>
      <c r="D224" s="97" t="s">
        <v>199</v>
      </c>
      <c r="E224" s="97" t="s">
        <v>1204</v>
      </c>
      <c r="F224" s="97" t="s">
        <v>1017</v>
      </c>
      <c r="G224" s="97" t="s">
        <v>862</v>
      </c>
      <c r="H224" s="97" t="s">
        <v>854</v>
      </c>
      <c r="I224" s="97" t="s">
        <v>986</v>
      </c>
      <c r="J224" s="97" t="s">
        <v>17</v>
      </c>
      <c r="K224" s="98" t="s">
        <v>8</v>
      </c>
    </row>
    <row r="225" spans="1:11" ht="28.8">
      <c r="A225" s="94">
        <f>_xlfn.XLOOKUP(B225,' Lista de Entrevistas'!B:B,' Lista de Entrevistas'!A:A,"")</f>
        <v>31</v>
      </c>
      <c r="B225" s="99" t="s">
        <v>710</v>
      </c>
      <c r="C225" s="99" t="s">
        <v>90</v>
      </c>
      <c r="D225" s="99" t="s">
        <v>199</v>
      </c>
      <c r="E225" s="99" t="s">
        <v>1205</v>
      </c>
      <c r="F225" s="99" t="s">
        <v>1031</v>
      </c>
      <c r="G225" s="99" t="s">
        <v>873</v>
      </c>
      <c r="H225" s="97" t="s">
        <v>890</v>
      </c>
      <c r="I225" s="99" t="s">
        <v>984</v>
      </c>
      <c r="J225" s="99" t="s">
        <v>17</v>
      </c>
      <c r="K225" s="100" t="s">
        <v>8</v>
      </c>
    </row>
    <row r="226" spans="1:11" ht="28.8">
      <c r="A226" s="92">
        <f>_xlfn.XLOOKUP(B226,' Lista de Entrevistas'!B:B,' Lista de Entrevistas'!A:A,"")</f>
        <v>31</v>
      </c>
      <c r="B226" s="97" t="s">
        <v>710</v>
      </c>
      <c r="C226" s="97" t="s">
        <v>90</v>
      </c>
      <c r="D226" s="97" t="s">
        <v>199</v>
      </c>
      <c r="E226" s="97" t="s">
        <v>1205</v>
      </c>
      <c r="F226" s="97" t="s">
        <v>1031</v>
      </c>
      <c r="G226" s="97" t="s">
        <v>873</v>
      </c>
      <c r="H226" s="97" t="s">
        <v>890</v>
      </c>
      <c r="I226" s="97" t="s">
        <v>986</v>
      </c>
      <c r="J226" s="97" t="s">
        <v>17</v>
      </c>
      <c r="K226" s="98" t="s">
        <v>8</v>
      </c>
    </row>
    <row r="227" spans="1:11" ht="28.8">
      <c r="A227" s="94">
        <f>_xlfn.XLOOKUP(B227,' Lista de Entrevistas'!B:B,' Lista de Entrevistas'!A:A,"")</f>
        <v>31</v>
      </c>
      <c r="B227" s="99" t="s">
        <v>710</v>
      </c>
      <c r="C227" s="99" t="s">
        <v>90</v>
      </c>
      <c r="D227" s="99" t="s">
        <v>199</v>
      </c>
      <c r="E227" s="99" t="s">
        <v>1205</v>
      </c>
      <c r="F227" s="99" t="s">
        <v>1031</v>
      </c>
      <c r="G227" s="99" t="s">
        <v>873</v>
      </c>
      <c r="H227" s="97" t="s">
        <v>890</v>
      </c>
      <c r="I227" s="99" t="s">
        <v>992</v>
      </c>
      <c r="J227" s="99" t="s">
        <v>17</v>
      </c>
      <c r="K227" s="100" t="s">
        <v>8</v>
      </c>
    </row>
    <row r="228" spans="1:11" ht="28.8">
      <c r="A228" s="92">
        <f>_xlfn.XLOOKUP(B228,' Lista de Entrevistas'!B:B,' Lista de Entrevistas'!A:A,"")</f>
        <v>32</v>
      </c>
      <c r="B228" s="97" t="s">
        <v>801</v>
      </c>
      <c r="C228" s="97" t="s">
        <v>105</v>
      </c>
      <c r="D228" s="97" t="s">
        <v>199</v>
      </c>
      <c r="E228" s="97" t="s">
        <v>1206</v>
      </c>
      <c r="F228" s="97" t="s">
        <v>1019</v>
      </c>
      <c r="G228" s="97" t="s">
        <v>877</v>
      </c>
      <c r="H228" s="97" t="s">
        <v>850</v>
      </c>
      <c r="I228" s="97" t="s">
        <v>984</v>
      </c>
      <c r="J228" s="97" t="s">
        <v>21</v>
      </c>
      <c r="K228" s="98" t="s">
        <v>8</v>
      </c>
    </row>
    <row r="229" spans="1:11" ht="28.8">
      <c r="A229" s="94">
        <f>_xlfn.XLOOKUP(B229,' Lista de Entrevistas'!B:B,' Lista de Entrevistas'!A:A,"")</f>
        <v>32</v>
      </c>
      <c r="B229" s="99" t="s">
        <v>801</v>
      </c>
      <c r="C229" s="99" t="s">
        <v>105</v>
      </c>
      <c r="D229" s="99" t="s">
        <v>199</v>
      </c>
      <c r="E229" s="99" t="s">
        <v>1206</v>
      </c>
      <c r="F229" s="99" t="s">
        <v>1019</v>
      </c>
      <c r="G229" s="99" t="s">
        <v>877</v>
      </c>
      <c r="H229" s="99" t="s">
        <v>850</v>
      </c>
      <c r="I229" s="99" t="s">
        <v>986</v>
      </c>
      <c r="J229" s="99" t="s">
        <v>21</v>
      </c>
      <c r="K229" s="100" t="s">
        <v>8</v>
      </c>
    </row>
    <row r="230" spans="1:11" ht="28.8">
      <c r="A230" s="92">
        <f>_xlfn.XLOOKUP(B230,' Lista de Entrevistas'!B:B,' Lista de Entrevistas'!A:A,"")</f>
        <v>32</v>
      </c>
      <c r="B230" s="97" t="s">
        <v>801</v>
      </c>
      <c r="C230" s="97" t="s">
        <v>105</v>
      </c>
      <c r="D230" s="97" t="s">
        <v>199</v>
      </c>
      <c r="E230" s="97" t="s">
        <v>1206</v>
      </c>
      <c r="F230" s="97" t="s">
        <v>1019</v>
      </c>
      <c r="G230" s="97" t="s">
        <v>877</v>
      </c>
      <c r="H230" s="97" t="s">
        <v>850</v>
      </c>
      <c r="I230" s="97" t="s">
        <v>982</v>
      </c>
      <c r="J230" s="97" t="s">
        <v>21</v>
      </c>
      <c r="K230" s="98" t="s">
        <v>8</v>
      </c>
    </row>
    <row r="231" spans="1:11" ht="28.8">
      <c r="A231" s="94">
        <f>_xlfn.XLOOKUP(B231,' Lista de Entrevistas'!B:B,' Lista de Entrevistas'!A:A,"")</f>
        <v>32</v>
      </c>
      <c r="B231" s="99" t="s">
        <v>801</v>
      </c>
      <c r="C231" s="99" t="s">
        <v>105</v>
      </c>
      <c r="D231" s="99" t="s">
        <v>199</v>
      </c>
      <c r="E231" s="99" t="s">
        <v>1207</v>
      </c>
      <c r="F231" s="99" t="s">
        <v>1031</v>
      </c>
      <c r="G231" s="99" t="s">
        <v>873</v>
      </c>
      <c r="H231" s="97" t="s">
        <v>890</v>
      </c>
      <c r="I231" s="99" t="s">
        <v>984</v>
      </c>
      <c r="J231" s="99" t="s">
        <v>17</v>
      </c>
      <c r="K231" s="100" t="s">
        <v>8</v>
      </c>
    </row>
    <row r="232" spans="1:11" ht="28.8">
      <c r="A232" s="92">
        <f>_xlfn.XLOOKUP(B232,' Lista de Entrevistas'!B:B,' Lista de Entrevistas'!A:A,"")</f>
        <v>32</v>
      </c>
      <c r="B232" s="97" t="s">
        <v>801</v>
      </c>
      <c r="C232" s="97" t="s">
        <v>105</v>
      </c>
      <c r="D232" s="97" t="s">
        <v>199</v>
      </c>
      <c r="E232" s="97" t="s">
        <v>1207</v>
      </c>
      <c r="F232" s="97" t="s">
        <v>1031</v>
      </c>
      <c r="G232" s="97" t="s">
        <v>873</v>
      </c>
      <c r="H232" s="97" t="s">
        <v>890</v>
      </c>
      <c r="I232" s="97" t="s">
        <v>986</v>
      </c>
      <c r="J232" s="97" t="s">
        <v>17</v>
      </c>
      <c r="K232" s="98" t="s">
        <v>8</v>
      </c>
    </row>
    <row r="233" spans="1:11" ht="28.8">
      <c r="A233" s="94">
        <f>_xlfn.XLOOKUP(B233,' Lista de Entrevistas'!B:B,' Lista de Entrevistas'!A:A,"")</f>
        <v>32</v>
      </c>
      <c r="B233" s="99" t="s">
        <v>801</v>
      </c>
      <c r="C233" s="99" t="s">
        <v>105</v>
      </c>
      <c r="D233" s="99" t="s">
        <v>199</v>
      </c>
      <c r="E233" s="99" t="s">
        <v>1207</v>
      </c>
      <c r="F233" s="99" t="s">
        <v>1031</v>
      </c>
      <c r="G233" s="99" t="s">
        <v>873</v>
      </c>
      <c r="H233" s="97" t="s">
        <v>890</v>
      </c>
      <c r="I233" s="99" t="s">
        <v>992</v>
      </c>
      <c r="J233" s="99" t="s">
        <v>17</v>
      </c>
      <c r="K233" s="100" t="s">
        <v>8</v>
      </c>
    </row>
    <row r="234" spans="1:11" ht="28.8">
      <c r="A234" s="92">
        <f>_xlfn.XLOOKUP(B234,' Lista de Entrevistas'!B:B,' Lista de Entrevistas'!A:A,"")</f>
        <v>33</v>
      </c>
      <c r="B234" s="97" t="s">
        <v>717</v>
      </c>
      <c r="C234" s="97" t="s">
        <v>90</v>
      </c>
      <c r="D234" s="97" t="s">
        <v>199</v>
      </c>
      <c r="E234" s="97" t="s">
        <v>1208</v>
      </c>
      <c r="F234" s="97" t="s">
        <v>1017</v>
      </c>
      <c r="G234" s="97" t="s">
        <v>862</v>
      </c>
      <c r="H234" s="97" t="s">
        <v>854</v>
      </c>
      <c r="I234" s="97" t="s">
        <v>994</v>
      </c>
      <c r="J234" s="97" t="s">
        <v>17</v>
      </c>
      <c r="K234" s="98" t="s">
        <v>8</v>
      </c>
    </row>
    <row r="235" spans="1:11" ht="28.8">
      <c r="A235" s="94">
        <f>_xlfn.XLOOKUP(B235,' Lista de Entrevistas'!B:B,' Lista de Entrevistas'!A:A,"")</f>
        <v>33</v>
      </c>
      <c r="B235" s="99" t="s">
        <v>717</v>
      </c>
      <c r="C235" s="99" t="s">
        <v>90</v>
      </c>
      <c r="D235" s="99" t="s">
        <v>199</v>
      </c>
      <c r="E235" s="99" t="s">
        <v>1208</v>
      </c>
      <c r="F235" s="99" t="s">
        <v>1017</v>
      </c>
      <c r="G235" s="99" t="s">
        <v>862</v>
      </c>
      <c r="H235" s="99" t="s">
        <v>854</v>
      </c>
      <c r="I235" s="99" t="s">
        <v>986</v>
      </c>
      <c r="J235" s="99" t="s">
        <v>17</v>
      </c>
      <c r="K235" s="100" t="s">
        <v>8</v>
      </c>
    </row>
    <row r="236" spans="1:11" ht="28.8">
      <c r="A236" s="92">
        <f>_xlfn.XLOOKUP(B236,' Lista de Entrevistas'!B:B,' Lista de Entrevistas'!A:A,"")</f>
        <v>33</v>
      </c>
      <c r="B236" s="97" t="s">
        <v>717</v>
      </c>
      <c r="C236" s="97" t="s">
        <v>90</v>
      </c>
      <c r="D236" s="97" t="s">
        <v>199</v>
      </c>
      <c r="E236" s="97" t="s">
        <v>1209</v>
      </c>
      <c r="F236" s="97" t="s">
        <v>1052</v>
      </c>
      <c r="G236" s="97" t="s">
        <v>885</v>
      </c>
      <c r="H236" s="97" t="s">
        <v>28</v>
      </c>
      <c r="I236" s="97" t="s">
        <v>994</v>
      </c>
      <c r="J236" s="97" t="s">
        <v>21</v>
      </c>
      <c r="K236" s="98" t="s">
        <v>8</v>
      </c>
    </row>
    <row r="237" spans="1:11" ht="28.8">
      <c r="A237" s="94">
        <f>_xlfn.XLOOKUP(B237,' Lista de Entrevistas'!B:B,' Lista de Entrevistas'!A:A,"")</f>
        <v>33</v>
      </c>
      <c r="B237" s="99" t="s">
        <v>717</v>
      </c>
      <c r="C237" s="99" t="s">
        <v>90</v>
      </c>
      <c r="D237" s="99" t="s">
        <v>199</v>
      </c>
      <c r="E237" s="99" t="s">
        <v>1209</v>
      </c>
      <c r="F237" s="99" t="s">
        <v>1052</v>
      </c>
      <c r="G237" s="99" t="s">
        <v>885</v>
      </c>
      <c r="H237" s="99" t="s">
        <v>28</v>
      </c>
      <c r="I237" s="99" t="s">
        <v>986</v>
      </c>
      <c r="J237" s="99" t="s">
        <v>21</v>
      </c>
      <c r="K237" s="100" t="s">
        <v>8</v>
      </c>
    </row>
    <row r="238" spans="1:11" ht="43.2">
      <c r="A238" s="92">
        <f>_xlfn.XLOOKUP(B238,' Lista de Entrevistas'!B:B,' Lista de Entrevistas'!A:A,"")</f>
        <v>34</v>
      </c>
      <c r="B238" s="97" t="s">
        <v>642</v>
      </c>
      <c r="C238" s="97" t="s">
        <v>83</v>
      </c>
      <c r="D238" s="97" t="s">
        <v>121</v>
      </c>
      <c r="E238" s="97" t="s">
        <v>1210</v>
      </c>
      <c r="F238" s="97" t="s">
        <v>1034</v>
      </c>
      <c r="G238" s="97" t="s">
        <v>860</v>
      </c>
      <c r="H238" s="97" t="s">
        <v>854</v>
      </c>
      <c r="I238" s="97" t="s">
        <v>980</v>
      </c>
      <c r="J238" s="97" t="s">
        <v>12</v>
      </c>
      <c r="K238" s="98" t="s">
        <v>8</v>
      </c>
    </row>
    <row r="239" spans="1:11" ht="43.2">
      <c r="A239" s="94">
        <f>_xlfn.XLOOKUP(B239,' Lista de Entrevistas'!B:B,' Lista de Entrevistas'!A:A,"")</f>
        <v>34</v>
      </c>
      <c r="B239" s="99" t="s">
        <v>642</v>
      </c>
      <c r="C239" s="99" t="s">
        <v>83</v>
      </c>
      <c r="D239" s="99" t="s">
        <v>121</v>
      </c>
      <c r="E239" s="99" t="s">
        <v>1210</v>
      </c>
      <c r="F239" s="99" t="s">
        <v>1034</v>
      </c>
      <c r="G239" s="99" t="s">
        <v>860</v>
      </c>
      <c r="H239" s="99" t="s">
        <v>854</v>
      </c>
      <c r="I239" s="99" t="s">
        <v>978</v>
      </c>
      <c r="J239" s="99" t="s">
        <v>12</v>
      </c>
      <c r="K239" s="100" t="s">
        <v>8</v>
      </c>
    </row>
    <row r="240" spans="1:11" ht="43.2">
      <c r="A240" s="92">
        <f>_xlfn.XLOOKUP(B240,' Lista de Entrevistas'!B:B,' Lista de Entrevistas'!A:A,"")</f>
        <v>34</v>
      </c>
      <c r="B240" s="97" t="s">
        <v>642</v>
      </c>
      <c r="C240" s="97" t="s">
        <v>83</v>
      </c>
      <c r="D240" s="97" t="s">
        <v>121</v>
      </c>
      <c r="E240" s="97" t="s">
        <v>1210</v>
      </c>
      <c r="F240" s="97" t="s">
        <v>1034</v>
      </c>
      <c r="G240" s="97" t="s">
        <v>860</v>
      </c>
      <c r="H240" s="97" t="s">
        <v>854</v>
      </c>
      <c r="I240" s="97" t="s">
        <v>982</v>
      </c>
      <c r="J240" s="97" t="s">
        <v>12</v>
      </c>
      <c r="K240" s="98" t="s">
        <v>8</v>
      </c>
    </row>
    <row r="241" spans="1:11" ht="28.8">
      <c r="A241" s="94">
        <f>_xlfn.XLOOKUP(B241,' Lista de Entrevistas'!B:B,' Lista de Entrevistas'!A:A,"")</f>
        <v>34</v>
      </c>
      <c r="B241" s="99" t="s">
        <v>642</v>
      </c>
      <c r="C241" s="99" t="s">
        <v>83</v>
      </c>
      <c r="D241" s="99" t="s">
        <v>121</v>
      </c>
      <c r="E241" s="99" t="s">
        <v>1211</v>
      </c>
      <c r="F241" s="99" t="s">
        <v>1036</v>
      </c>
      <c r="G241" s="99" t="s">
        <v>883</v>
      </c>
      <c r="H241" s="99" t="s">
        <v>853</v>
      </c>
      <c r="I241" s="99" t="s">
        <v>994</v>
      </c>
      <c r="J241" s="99" t="s">
        <v>17</v>
      </c>
      <c r="K241" s="100" t="s">
        <v>8</v>
      </c>
    </row>
    <row r="242" spans="1:11" ht="28.8">
      <c r="A242" s="92">
        <f>_xlfn.XLOOKUP(B242,' Lista de Entrevistas'!B:B,' Lista de Entrevistas'!A:A,"")</f>
        <v>34</v>
      </c>
      <c r="B242" s="97" t="s">
        <v>642</v>
      </c>
      <c r="C242" s="97" t="s">
        <v>83</v>
      </c>
      <c r="D242" s="97" t="s">
        <v>121</v>
      </c>
      <c r="E242" s="97" t="s">
        <v>1211</v>
      </c>
      <c r="F242" s="97" t="s">
        <v>1036</v>
      </c>
      <c r="G242" s="97" t="s">
        <v>883</v>
      </c>
      <c r="H242" s="97" t="s">
        <v>853</v>
      </c>
      <c r="I242" s="97" t="s">
        <v>988</v>
      </c>
      <c r="J242" s="97" t="s">
        <v>17</v>
      </c>
      <c r="K242" s="98" t="s">
        <v>8</v>
      </c>
    </row>
    <row r="243" spans="1:11" ht="28.8">
      <c r="A243" s="94">
        <f>_xlfn.XLOOKUP(B243,' Lista de Entrevistas'!B:B,' Lista de Entrevistas'!A:A,"")</f>
        <v>35</v>
      </c>
      <c r="B243" s="99" t="s">
        <v>697</v>
      </c>
      <c r="C243" s="99" t="s">
        <v>90</v>
      </c>
      <c r="D243" s="99" t="s">
        <v>145</v>
      </c>
      <c r="E243" s="99" t="s">
        <v>1212</v>
      </c>
      <c r="F243" s="99" t="s">
        <v>1070</v>
      </c>
      <c r="G243" s="99" t="s">
        <v>891</v>
      </c>
      <c r="H243" s="97" t="s">
        <v>890</v>
      </c>
      <c r="I243" s="99" t="s">
        <v>984</v>
      </c>
      <c r="J243" s="99" t="s">
        <v>17</v>
      </c>
      <c r="K243" s="100" t="s">
        <v>8</v>
      </c>
    </row>
    <row r="244" spans="1:11" ht="28.8">
      <c r="A244" s="92">
        <f>_xlfn.XLOOKUP(B244,' Lista de Entrevistas'!B:B,' Lista de Entrevistas'!A:A,"")</f>
        <v>35</v>
      </c>
      <c r="B244" s="97" t="s">
        <v>697</v>
      </c>
      <c r="C244" s="97" t="s">
        <v>90</v>
      </c>
      <c r="D244" s="97" t="s">
        <v>145</v>
      </c>
      <c r="E244" s="97" t="s">
        <v>1212</v>
      </c>
      <c r="F244" s="97" t="s">
        <v>1070</v>
      </c>
      <c r="G244" s="97" t="s">
        <v>891</v>
      </c>
      <c r="H244" s="97" t="s">
        <v>890</v>
      </c>
      <c r="I244" s="97" t="s">
        <v>978</v>
      </c>
      <c r="J244" s="97" t="s">
        <v>17</v>
      </c>
      <c r="K244" s="98" t="s">
        <v>8</v>
      </c>
    </row>
    <row r="245" spans="1:11" ht="28.8">
      <c r="A245" s="94">
        <f>_xlfn.XLOOKUP(B245,' Lista de Entrevistas'!B:B,' Lista de Entrevistas'!A:A,"")</f>
        <v>35</v>
      </c>
      <c r="B245" s="99" t="s">
        <v>697</v>
      </c>
      <c r="C245" s="99" t="s">
        <v>90</v>
      </c>
      <c r="D245" s="99" t="s">
        <v>145</v>
      </c>
      <c r="E245" s="99" t="s">
        <v>1213</v>
      </c>
      <c r="F245" s="99" t="s">
        <v>1034</v>
      </c>
      <c r="G245" s="99" t="s">
        <v>860</v>
      </c>
      <c r="H245" s="99" t="s">
        <v>854</v>
      </c>
      <c r="I245" s="99" t="s">
        <v>980</v>
      </c>
      <c r="J245" s="99" t="s">
        <v>12</v>
      </c>
      <c r="K245" s="100" t="s">
        <v>8</v>
      </c>
    </row>
    <row r="246" spans="1:11" ht="28.8">
      <c r="A246" s="92">
        <f>_xlfn.XLOOKUP(B246,' Lista de Entrevistas'!B:B,' Lista de Entrevistas'!A:A,"")</f>
        <v>35</v>
      </c>
      <c r="B246" s="97" t="s">
        <v>697</v>
      </c>
      <c r="C246" s="97" t="s">
        <v>90</v>
      </c>
      <c r="D246" s="97" t="s">
        <v>145</v>
      </c>
      <c r="E246" s="97" t="s">
        <v>1213</v>
      </c>
      <c r="F246" s="97" t="s">
        <v>1034</v>
      </c>
      <c r="G246" s="97" t="s">
        <v>860</v>
      </c>
      <c r="H246" s="97" t="s">
        <v>854</v>
      </c>
      <c r="I246" s="97" t="s">
        <v>978</v>
      </c>
      <c r="J246" s="97" t="s">
        <v>12</v>
      </c>
      <c r="K246" s="98" t="s">
        <v>8</v>
      </c>
    </row>
    <row r="247" spans="1:11" ht="28.8">
      <c r="A247" s="94">
        <f>_xlfn.XLOOKUP(B247,' Lista de Entrevistas'!B:B,' Lista de Entrevistas'!A:A,"")</f>
        <v>35</v>
      </c>
      <c r="B247" s="99" t="s">
        <v>697</v>
      </c>
      <c r="C247" s="99" t="s">
        <v>90</v>
      </c>
      <c r="D247" s="99" t="s">
        <v>145</v>
      </c>
      <c r="E247" s="99" t="s">
        <v>1213</v>
      </c>
      <c r="F247" s="99" t="s">
        <v>1034</v>
      </c>
      <c r="G247" s="99" t="s">
        <v>860</v>
      </c>
      <c r="H247" s="99" t="s">
        <v>854</v>
      </c>
      <c r="I247" s="99" t="s">
        <v>982</v>
      </c>
      <c r="J247" s="99" t="s">
        <v>12</v>
      </c>
      <c r="K247" s="100" t="s">
        <v>8</v>
      </c>
    </row>
    <row r="248" spans="1:11" ht="28.8">
      <c r="A248" s="92">
        <f>_xlfn.XLOOKUP(B248,' Lista de Entrevistas'!B:B,' Lista de Entrevistas'!A:A,"")</f>
        <v>36</v>
      </c>
      <c r="B248" s="97" t="s">
        <v>568</v>
      </c>
      <c r="C248" s="97" t="s">
        <v>83</v>
      </c>
      <c r="D248" s="97" t="s">
        <v>145</v>
      </c>
      <c r="E248" s="97" t="s">
        <v>1214</v>
      </c>
      <c r="F248" s="97" t="s">
        <v>1066</v>
      </c>
      <c r="G248" s="97" t="s">
        <v>885</v>
      </c>
      <c r="H248" s="97" t="s">
        <v>28</v>
      </c>
      <c r="I248" s="97" t="s">
        <v>994</v>
      </c>
      <c r="J248" s="97" t="s">
        <v>17</v>
      </c>
      <c r="K248" s="98" t="s">
        <v>8</v>
      </c>
    </row>
    <row r="249" spans="1:11" ht="28.8">
      <c r="A249" s="94">
        <f>_xlfn.XLOOKUP(B249,' Lista de Entrevistas'!B:B,' Lista de Entrevistas'!A:A,"")</f>
        <v>36</v>
      </c>
      <c r="B249" s="99" t="s">
        <v>568</v>
      </c>
      <c r="C249" s="99" t="s">
        <v>83</v>
      </c>
      <c r="D249" s="99" t="s">
        <v>145</v>
      </c>
      <c r="E249" s="99" t="s">
        <v>1214</v>
      </c>
      <c r="F249" s="99" t="s">
        <v>1066</v>
      </c>
      <c r="G249" s="99" t="s">
        <v>885</v>
      </c>
      <c r="H249" s="99" t="s">
        <v>28</v>
      </c>
      <c r="I249" s="99" t="s">
        <v>986</v>
      </c>
      <c r="J249" s="99" t="s">
        <v>17</v>
      </c>
      <c r="K249" s="100" t="s">
        <v>8</v>
      </c>
    </row>
    <row r="250" spans="1:11" ht="28.8">
      <c r="A250" s="92">
        <f>_xlfn.XLOOKUP(B250,' Lista de Entrevistas'!B:B,' Lista de Entrevistas'!A:A,"")</f>
        <v>36</v>
      </c>
      <c r="B250" s="97" t="s">
        <v>568</v>
      </c>
      <c r="C250" s="97" t="s">
        <v>83</v>
      </c>
      <c r="D250" s="97" t="s">
        <v>145</v>
      </c>
      <c r="E250" s="97" t="s">
        <v>1215</v>
      </c>
      <c r="F250" s="97" t="s">
        <v>1110</v>
      </c>
      <c r="G250" s="97" t="s">
        <v>874</v>
      </c>
      <c r="H250" s="97" t="s">
        <v>890</v>
      </c>
      <c r="I250" s="97" t="s">
        <v>984</v>
      </c>
      <c r="J250" s="97" t="s">
        <v>17</v>
      </c>
      <c r="K250" s="98" t="s">
        <v>8</v>
      </c>
    </row>
    <row r="251" spans="1:11" ht="28.8">
      <c r="A251" s="94">
        <f>_xlfn.XLOOKUP(B251,' Lista de Entrevistas'!B:B,' Lista de Entrevistas'!A:A,"")</f>
        <v>36</v>
      </c>
      <c r="B251" s="99" t="s">
        <v>568</v>
      </c>
      <c r="C251" s="99" t="s">
        <v>83</v>
      </c>
      <c r="D251" s="99" t="s">
        <v>145</v>
      </c>
      <c r="E251" s="99" t="s">
        <v>1215</v>
      </c>
      <c r="F251" s="99" t="s">
        <v>1110</v>
      </c>
      <c r="G251" s="99" t="s">
        <v>874</v>
      </c>
      <c r="H251" s="97" t="s">
        <v>890</v>
      </c>
      <c r="I251" s="99" t="s">
        <v>978</v>
      </c>
      <c r="J251" s="99" t="s">
        <v>17</v>
      </c>
      <c r="K251" s="100" t="s">
        <v>8</v>
      </c>
    </row>
    <row r="252" spans="1:11" ht="28.8">
      <c r="A252" s="92">
        <f>_xlfn.XLOOKUP(B252,' Lista de Entrevistas'!B:B,' Lista de Entrevistas'!A:A,"")</f>
        <v>37</v>
      </c>
      <c r="B252" s="97" t="s">
        <v>572</v>
      </c>
      <c r="C252" s="97" t="s">
        <v>90</v>
      </c>
      <c r="D252" s="97" t="s">
        <v>145</v>
      </c>
      <c r="E252" s="97" t="s">
        <v>1216</v>
      </c>
      <c r="F252" s="97" t="s">
        <v>1066</v>
      </c>
      <c r="G252" s="97" t="s">
        <v>885</v>
      </c>
      <c r="H252" s="97" t="s">
        <v>28</v>
      </c>
      <c r="I252" s="97" t="s">
        <v>994</v>
      </c>
      <c r="J252" s="97" t="s">
        <v>17</v>
      </c>
      <c r="K252" s="98" t="s">
        <v>8</v>
      </c>
    </row>
    <row r="253" spans="1:11" ht="28.8">
      <c r="A253" s="94">
        <f>_xlfn.XLOOKUP(B253,' Lista de Entrevistas'!B:B,' Lista de Entrevistas'!A:A,"")</f>
        <v>37</v>
      </c>
      <c r="B253" s="99" t="s">
        <v>572</v>
      </c>
      <c r="C253" s="99" t="s">
        <v>90</v>
      </c>
      <c r="D253" s="99" t="s">
        <v>145</v>
      </c>
      <c r="E253" s="99" t="s">
        <v>1216</v>
      </c>
      <c r="F253" s="99" t="s">
        <v>1066</v>
      </c>
      <c r="G253" s="99" t="s">
        <v>885</v>
      </c>
      <c r="H253" s="99" t="s">
        <v>28</v>
      </c>
      <c r="I253" s="99" t="s">
        <v>986</v>
      </c>
      <c r="J253" s="99" t="s">
        <v>17</v>
      </c>
      <c r="K253" s="100" t="s">
        <v>8</v>
      </c>
    </row>
    <row r="254" spans="1:11" ht="28.8">
      <c r="A254" s="92">
        <f>_xlfn.XLOOKUP(B254,' Lista de Entrevistas'!B:B,' Lista de Entrevistas'!A:A,"")</f>
        <v>37</v>
      </c>
      <c r="B254" s="97" t="s">
        <v>572</v>
      </c>
      <c r="C254" s="97" t="s">
        <v>90</v>
      </c>
      <c r="D254" s="97" t="s">
        <v>145</v>
      </c>
      <c r="E254" s="97" t="s">
        <v>1217</v>
      </c>
      <c r="F254" s="97" t="s">
        <v>1104</v>
      </c>
      <c r="G254" s="97" t="s">
        <v>824</v>
      </c>
      <c r="H254" s="97" t="s">
        <v>853</v>
      </c>
      <c r="I254" s="97" t="s">
        <v>992</v>
      </c>
      <c r="J254" s="97" t="s">
        <v>17</v>
      </c>
      <c r="K254" s="98" t="s">
        <v>8</v>
      </c>
    </row>
    <row r="255" spans="1:11" ht="28.8">
      <c r="A255" s="94">
        <f>_xlfn.XLOOKUP(B255,' Lista de Entrevistas'!B:B,' Lista de Entrevistas'!A:A,"")</f>
        <v>37</v>
      </c>
      <c r="B255" s="99" t="s">
        <v>572</v>
      </c>
      <c r="C255" s="99" t="s">
        <v>90</v>
      </c>
      <c r="D255" s="99" t="s">
        <v>145</v>
      </c>
      <c r="E255" s="99" t="s">
        <v>1217</v>
      </c>
      <c r="F255" s="99" t="s">
        <v>1104</v>
      </c>
      <c r="G255" s="99" t="s">
        <v>824</v>
      </c>
      <c r="H255" s="99" t="s">
        <v>853</v>
      </c>
      <c r="I255" s="99" t="s">
        <v>978</v>
      </c>
      <c r="J255" s="99" t="s">
        <v>17</v>
      </c>
      <c r="K255" s="100" t="s">
        <v>8</v>
      </c>
    </row>
    <row r="256" spans="1:11" ht="28.8">
      <c r="A256" s="92">
        <f>_xlfn.XLOOKUP(B256,' Lista de Entrevistas'!B:B,' Lista de Entrevistas'!A:A,"")</f>
        <v>38</v>
      </c>
      <c r="B256" s="97" t="s">
        <v>714</v>
      </c>
      <c r="C256" s="97" t="s">
        <v>90</v>
      </c>
      <c r="D256" s="97" t="s">
        <v>199</v>
      </c>
      <c r="E256" s="97" t="s">
        <v>1218</v>
      </c>
      <c r="F256" s="97" t="s">
        <v>1017</v>
      </c>
      <c r="G256" s="97" t="s">
        <v>862</v>
      </c>
      <c r="H256" s="97" t="s">
        <v>854</v>
      </c>
      <c r="I256" s="97" t="s">
        <v>994</v>
      </c>
      <c r="J256" s="97" t="s">
        <v>17</v>
      </c>
      <c r="K256" s="98" t="s">
        <v>8</v>
      </c>
    </row>
    <row r="257" spans="1:11" ht="28.8">
      <c r="A257" s="94">
        <f>_xlfn.XLOOKUP(B257,' Lista de Entrevistas'!B:B,' Lista de Entrevistas'!A:A,"")</f>
        <v>38</v>
      </c>
      <c r="B257" s="99" t="s">
        <v>714</v>
      </c>
      <c r="C257" s="99" t="s">
        <v>90</v>
      </c>
      <c r="D257" s="99" t="s">
        <v>199</v>
      </c>
      <c r="E257" s="99" t="s">
        <v>1218</v>
      </c>
      <c r="F257" s="99" t="s">
        <v>1017</v>
      </c>
      <c r="G257" s="99" t="s">
        <v>862</v>
      </c>
      <c r="H257" s="99" t="s">
        <v>854</v>
      </c>
      <c r="I257" s="99" t="s">
        <v>986</v>
      </c>
      <c r="J257" s="99" t="s">
        <v>17</v>
      </c>
      <c r="K257" s="100" t="s">
        <v>8</v>
      </c>
    </row>
    <row r="258" spans="1:11" ht="28.8">
      <c r="A258" s="92">
        <f>_xlfn.XLOOKUP(B258,' Lista de Entrevistas'!B:B,' Lista de Entrevistas'!A:A,"")</f>
        <v>38</v>
      </c>
      <c r="B258" s="97" t="s">
        <v>714</v>
      </c>
      <c r="C258" s="97" t="s">
        <v>90</v>
      </c>
      <c r="D258" s="97" t="s">
        <v>199</v>
      </c>
      <c r="E258" s="97" t="s">
        <v>1219</v>
      </c>
      <c r="F258" s="97" t="s">
        <v>1031</v>
      </c>
      <c r="G258" s="97" t="s">
        <v>873</v>
      </c>
      <c r="H258" s="97" t="s">
        <v>890</v>
      </c>
      <c r="I258" s="97" t="s">
        <v>984</v>
      </c>
      <c r="J258" s="97" t="s">
        <v>17</v>
      </c>
      <c r="K258" s="98" t="s">
        <v>8</v>
      </c>
    </row>
    <row r="259" spans="1:11" ht="28.8">
      <c r="A259" s="94">
        <f>_xlfn.XLOOKUP(B259,' Lista de Entrevistas'!B:B,' Lista de Entrevistas'!A:A,"")</f>
        <v>38</v>
      </c>
      <c r="B259" s="99" t="s">
        <v>714</v>
      </c>
      <c r="C259" s="99" t="s">
        <v>90</v>
      </c>
      <c r="D259" s="99" t="s">
        <v>199</v>
      </c>
      <c r="E259" s="99" t="s">
        <v>1219</v>
      </c>
      <c r="F259" s="99" t="s">
        <v>1031</v>
      </c>
      <c r="G259" s="99" t="s">
        <v>873</v>
      </c>
      <c r="H259" s="97" t="s">
        <v>890</v>
      </c>
      <c r="I259" s="99" t="s">
        <v>986</v>
      </c>
      <c r="J259" s="99" t="s">
        <v>17</v>
      </c>
      <c r="K259" s="100" t="s">
        <v>8</v>
      </c>
    </row>
    <row r="260" spans="1:11" ht="28.8">
      <c r="A260" s="92">
        <f>_xlfn.XLOOKUP(B260,' Lista de Entrevistas'!B:B,' Lista de Entrevistas'!A:A,"")</f>
        <v>38</v>
      </c>
      <c r="B260" s="97" t="s">
        <v>714</v>
      </c>
      <c r="C260" s="97" t="s">
        <v>90</v>
      </c>
      <c r="D260" s="97" t="s">
        <v>199</v>
      </c>
      <c r="E260" s="97" t="s">
        <v>1219</v>
      </c>
      <c r="F260" s="97" t="s">
        <v>1031</v>
      </c>
      <c r="G260" s="97" t="s">
        <v>873</v>
      </c>
      <c r="H260" s="97" t="s">
        <v>890</v>
      </c>
      <c r="I260" s="97" t="s">
        <v>992</v>
      </c>
      <c r="J260" s="97" t="s">
        <v>17</v>
      </c>
      <c r="K260" s="98" t="s">
        <v>8</v>
      </c>
    </row>
    <row r="261" spans="1:11" ht="28.8">
      <c r="A261" s="94">
        <f>_xlfn.XLOOKUP(B261,' Lista de Entrevistas'!B:B,' Lista de Entrevistas'!A:A,"")</f>
        <v>39</v>
      </c>
      <c r="B261" s="99" t="s">
        <v>1220</v>
      </c>
      <c r="C261" s="99" t="s">
        <v>105</v>
      </c>
      <c r="D261" s="99" t="s">
        <v>199</v>
      </c>
      <c r="E261" s="99" t="s">
        <v>1221</v>
      </c>
      <c r="F261" s="99" t="s">
        <v>1066</v>
      </c>
      <c r="G261" s="99" t="s">
        <v>885</v>
      </c>
      <c r="H261" s="99" t="s">
        <v>28</v>
      </c>
      <c r="I261" s="99" t="s">
        <v>994</v>
      </c>
      <c r="J261" s="99" t="s">
        <v>17</v>
      </c>
      <c r="K261" s="100" t="s">
        <v>8</v>
      </c>
    </row>
    <row r="262" spans="1:11" ht="28.8">
      <c r="A262" s="92">
        <f>_xlfn.XLOOKUP(B262,' Lista de Entrevistas'!B:B,' Lista de Entrevistas'!A:A,"")</f>
        <v>39</v>
      </c>
      <c r="B262" s="97" t="s">
        <v>1220</v>
      </c>
      <c r="C262" s="97" t="s">
        <v>105</v>
      </c>
      <c r="D262" s="97" t="s">
        <v>199</v>
      </c>
      <c r="E262" s="97" t="s">
        <v>1221</v>
      </c>
      <c r="F262" s="97" t="s">
        <v>1066</v>
      </c>
      <c r="G262" s="97" t="s">
        <v>885</v>
      </c>
      <c r="H262" s="97" t="s">
        <v>28</v>
      </c>
      <c r="I262" s="97" t="s">
        <v>986</v>
      </c>
      <c r="J262" s="97" t="s">
        <v>17</v>
      </c>
      <c r="K262" s="98" t="s">
        <v>8</v>
      </c>
    </row>
    <row r="263" spans="1:11" ht="28.8">
      <c r="A263" s="94">
        <f>_xlfn.XLOOKUP(B263,' Lista de Entrevistas'!B:B,' Lista de Entrevistas'!A:A,"")</f>
        <v>39</v>
      </c>
      <c r="B263" s="99" t="s">
        <v>1220</v>
      </c>
      <c r="C263" s="99" t="s">
        <v>105</v>
      </c>
      <c r="D263" s="99" t="s">
        <v>199</v>
      </c>
      <c r="E263" s="99" t="s">
        <v>1222</v>
      </c>
      <c r="F263" s="99" t="s">
        <v>1110</v>
      </c>
      <c r="G263" s="99" t="s">
        <v>874</v>
      </c>
      <c r="H263" s="97" t="s">
        <v>890</v>
      </c>
      <c r="I263" s="99" t="s">
        <v>984</v>
      </c>
      <c r="J263" s="99" t="s">
        <v>17</v>
      </c>
      <c r="K263" s="100" t="s">
        <v>8</v>
      </c>
    </row>
    <row r="264" spans="1:11" ht="28.8">
      <c r="A264" s="92">
        <f>_xlfn.XLOOKUP(B264,' Lista de Entrevistas'!B:B,' Lista de Entrevistas'!A:A,"")</f>
        <v>39</v>
      </c>
      <c r="B264" s="97" t="s">
        <v>1220</v>
      </c>
      <c r="C264" s="97" t="s">
        <v>105</v>
      </c>
      <c r="D264" s="97" t="s">
        <v>199</v>
      </c>
      <c r="E264" s="97" t="s">
        <v>1222</v>
      </c>
      <c r="F264" s="97" t="s">
        <v>1110</v>
      </c>
      <c r="G264" s="97" t="s">
        <v>874</v>
      </c>
      <c r="H264" s="97" t="s">
        <v>890</v>
      </c>
      <c r="I264" s="97" t="s">
        <v>978</v>
      </c>
      <c r="J264" s="97" t="s">
        <v>17</v>
      </c>
      <c r="K264" s="98" t="s">
        <v>8</v>
      </c>
    </row>
    <row r="265" spans="1:11" ht="28.8">
      <c r="A265" s="94">
        <f>_xlfn.XLOOKUP(B265,' Lista de Entrevistas'!B:B,' Lista de Entrevistas'!A:A,"")</f>
        <v>40</v>
      </c>
      <c r="B265" s="99" t="s">
        <v>565</v>
      </c>
      <c r="C265" s="99" t="s">
        <v>83</v>
      </c>
      <c r="D265" s="99" t="s">
        <v>145</v>
      </c>
      <c r="E265" s="99" t="s">
        <v>1223</v>
      </c>
      <c r="F265" s="99" t="s">
        <v>1110</v>
      </c>
      <c r="G265" s="99" t="s">
        <v>874</v>
      </c>
      <c r="H265" s="97" t="s">
        <v>890</v>
      </c>
      <c r="I265" s="99" t="s">
        <v>984</v>
      </c>
      <c r="J265" s="99" t="s">
        <v>17</v>
      </c>
      <c r="K265" s="100" t="s">
        <v>8</v>
      </c>
    </row>
    <row r="266" spans="1:11" ht="28.8">
      <c r="A266" s="92">
        <f>_xlfn.XLOOKUP(B266,' Lista de Entrevistas'!B:B,' Lista de Entrevistas'!A:A,"")</f>
        <v>40</v>
      </c>
      <c r="B266" s="97" t="s">
        <v>565</v>
      </c>
      <c r="C266" s="97" t="s">
        <v>83</v>
      </c>
      <c r="D266" s="97" t="s">
        <v>145</v>
      </c>
      <c r="E266" s="97" t="s">
        <v>1223</v>
      </c>
      <c r="F266" s="97" t="s">
        <v>1110</v>
      </c>
      <c r="G266" s="97" t="s">
        <v>874</v>
      </c>
      <c r="H266" s="97" t="s">
        <v>890</v>
      </c>
      <c r="I266" s="97" t="s">
        <v>978</v>
      </c>
      <c r="J266" s="97" t="s">
        <v>17</v>
      </c>
      <c r="K266" s="98" t="s">
        <v>8</v>
      </c>
    </row>
    <row r="267" spans="1:11" ht="28.8">
      <c r="A267" s="94">
        <f>_xlfn.XLOOKUP(B267,' Lista de Entrevistas'!B:B,' Lista de Entrevistas'!A:A,"")</f>
        <v>40</v>
      </c>
      <c r="B267" s="99" t="s">
        <v>565</v>
      </c>
      <c r="C267" s="99" t="s">
        <v>83</v>
      </c>
      <c r="D267" s="99" t="s">
        <v>145</v>
      </c>
      <c r="E267" s="99" t="s">
        <v>1224</v>
      </c>
      <c r="F267" s="99" t="s">
        <v>1104</v>
      </c>
      <c r="G267" s="99" t="s">
        <v>824</v>
      </c>
      <c r="H267" s="99" t="s">
        <v>853</v>
      </c>
      <c r="I267" s="99" t="s">
        <v>992</v>
      </c>
      <c r="J267" s="99" t="s">
        <v>17</v>
      </c>
      <c r="K267" s="100" t="s">
        <v>8</v>
      </c>
    </row>
    <row r="268" spans="1:11" ht="28.8">
      <c r="A268" s="92">
        <f>_xlfn.XLOOKUP(B268,' Lista de Entrevistas'!B:B,' Lista de Entrevistas'!A:A,"")</f>
        <v>40</v>
      </c>
      <c r="B268" s="97" t="s">
        <v>565</v>
      </c>
      <c r="C268" s="97" t="s">
        <v>83</v>
      </c>
      <c r="D268" s="97" t="s">
        <v>145</v>
      </c>
      <c r="E268" s="97" t="s">
        <v>1224</v>
      </c>
      <c r="F268" s="97" t="s">
        <v>1104</v>
      </c>
      <c r="G268" s="97" t="s">
        <v>824</v>
      </c>
      <c r="H268" s="97" t="s">
        <v>853</v>
      </c>
      <c r="I268" s="97" t="s">
        <v>978</v>
      </c>
      <c r="J268" s="97" t="s">
        <v>17</v>
      </c>
      <c r="K268" s="98" t="s">
        <v>8</v>
      </c>
    </row>
    <row r="269" spans="1:11" ht="28.8">
      <c r="A269" s="94">
        <f>_xlfn.XLOOKUP(B269,' Lista de Entrevistas'!B:B,' Lista de Entrevistas'!A:A,"")</f>
        <v>41</v>
      </c>
      <c r="B269" s="99" t="s">
        <v>561</v>
      </c>
      <c r="C269" s="99" t="s">
        <v>90</v>
      </c>
      <c r="D269" s="99" t="s">
        <v>145</v>
      </c>
      <c r="E269" s="99" t="s">
        <v>1225</v>
      </c>
      <c r="F269" s="99" t="s">
        <v>1110</v>
      </c>
      <c r="G269" s="99" t="s">
        <v>874</v>
      </c>
      <c r="H269" s="97" t="s">
        <v>890</v>
      </c>
      <c r="I269" s="99" t="s">
        <v>984</v>
      </c>
      <c r="J269" s="99" t="s">
        <v>17</v>
      </c>
      <c r="K269" s="100" t="s">
        <v>8</v>
      </c>
    </row>
    <row r="270" spans="1:11" ht="28.8">
      <c r="A270" s="92">
        <f>_xlfn.XLOOKUP(B270,' Lista de Entrevistas'!B:B,' Lista de Entrevistas'!A:A,"")</f>
        <v>41</v>
      </c>
      <c r="B270" s="97" t="s">
        <v>561</v>
      </c>
      <c r="C270" s="97" t="s">
        <v>90</v>
      </c>
      <c r="D270" s="97" t="s">
        <v>145</v>
      </c>
      <c r="E270" s="97" t="s">
        <v>1225</v>
      </c>
      <c r="F270" s="97" t="s">
        <v>1110</v>
      </c>
      <c r="G270" s="97" t="s">
        <v>874</v>
      </c>
      <c r="H270" s="97" t="s">
        <v>890</v>
      </c>
      <c r="I270" s="97" t="s">
        <v>978</v>
      </c>
      <c r="J270" s="97" t="s">
        <v>17</v>
      </c>
      <c r="K270" s="98" t="s">
        <v>8</v>
      </c>
    </row>
    <row r="271" spans="1:11" ht="28.8">
      <c r="A271" s="94">
        <f>_xlfn.XLOOKUP(B271,' Lista de Entrevistas'!B:B,' Lista de Entrevistas'!A:A,"")</f>
        <v>41</v>
      </c>
      <c r="B271" s="99" t="s">
        <v>561</v>
      </c>
      <c r="C271" s="99" t="s">
        <v>90</v>
      </c>
      <c r="D271" s="99" t="s">
        <v>145</v>
      </c>
      <c r="E271" s="99" t="s">
        <v>1226</v>
      </c>
      <c r="F271" s="99" t="s">
        <v>1104</v>
      </c>
      <c r="G271" s="99" t="s">
        <v>824</v>
      </c>
      <c r="H271" s="99" t="s">
        <v>853</v>
      </c>
      <c r="I271" s="99" t="s">
        <v>992</v>
      </c>
      <c r="J271" s="99" t="s">
        <v>17</v>
      </c>
      <c r="K271" s="100" t="s">
        <v>8</v>
      </c>
    </row>
    <row r="272" spans="1:11" ht="28.8">
      <c r="A272" s="92">
        <f>_xlfn.XLOOKUP(B272,' Lista de Entrevistas'!B:B,' Lista de Entrevistas'!A:A,"")</f>
        <v>41</v>
      </c>
      <c r="B272" s="97" t="s">
        <v>561</v>
      </c>
      <c r="C272" s="97" t="s">
        <v>90</v>
      </c>
      <c r="D272" s="97" t="s">
        <v>145</v>
      </c>
      <c r="E272" s="97" t="s">
        <v>1226</v>
      </c>
      <c r="F272" s="97" t="s">
        <v>1104</v>
      </c>
      <c r="G272" s="97" t="s">
        <v>824</v>
      </c>
      <c r="H272" s="97" t="s">
        <v>853</v>
      </c>
      <c r="I272" s="97" t="s">
        <v>978</v>
      </c>
      <c r="J272" s="97" t="s">
        <v>17</v>
      </c>
      <c r="K272" s="98" t="s">
        <v>8</v>
      </c>
    </row>
    <row r="273" spans="1:11" ht="28.8">
      <c r="A273" s="94">
        <f>_xlfn.XLOOKUP(B273,' Lista de Entrevistas'!B:B,' Lista de Entrevistas'!A:A,"")</f>
        <v>42</v>
      </c>
      <c r="B273" s="99" t="s">
        <v>520</v>
      </c>
      <c r="C273" s="99" t="s">
        <v>90</v>
      </c>
      <c r="D273" s="99" t="s">
        <v>145</v>
      </c>
      <c r="E273" s="99" t="s">
        <v>1227</v>
      </c>
      <c r="F273" s="99" t="s">
        <v>1017</v>
      </c>
      <c r="G273" s="99" t="s">
        <v>862</v>
      </c>
      <c r="H273" s="99" t="s">
        <v>854</v>
      </c>
      <c r="I273" s="99" t="s">
        <v>994</v>
      </c>
      <c r="J273" s="99" t="s">
        <v>17</v>
      </c>
      <c r="K273" s="100" t="s">
        <v>8</v>
      </c>
    </row>
    <row r="274" spans="1:11" ht="28.8">
      <c r="A274" s="92">
        <f>_xlfn.XLOOKUP(B274,' Lista de Entrevistas'!B:B,' Lista de Entrevistas'!A:A,"")</f>
        <v>42</v>
      </c>
      <c r="B274" s="97" t="s">
        <v>520</v>
      </c>
      <c r="C274" s="97" t="s">
        <v>90</v>
      </c>
      <c r="D274" s="97" t="s">
        <v>145</v>
      </c>
      <c r="E274" s="97" t="s">
        <v>1227</v>
      </c>
      <c r="F274" s="97" t="s">
        <v>1017</v>
      </c>
      <c r="G274" s="97" t="s">
        <v>862</v>
      </c>
      <c r="H274" s="97" t="s">
        <v>854</v>
      </c>
      <c r="I274" s="97" t="s">
        <v>986</v>
      </c>
      <c r="J274" s="97" t="s">
        <v>17</v>
      </c>
      <c r="K274" s="98" t="s">
        <v>8</v>
      </c>
    </row>
    <row r="275" spans="1:11" ht="28.8">
      <c r="A275" s="94">
        <f>_xlfn.XLOOKUP(B275,' Lista de Entrevistas'!B:B,' Lista de Entrevistas'!A:A,"")</f>
        <v>42</v>
      </c>
      <c r="B275" s="99" t="s">
        <v>520</v>
      </c>
      <c r="C275" s="99" t="s">
        <v>90</v>
      </c>
      <c r="D275" s="99" t="s">
        <v>145</v>
      </c>
      <c r="E275" s="99" t="s">
        <v>1228</v>
      </c>
      <c r="F275" s="99" t="s">
        <v>1052</v>
      </c>
      <c r="G275" s="99" t="s">
        <v>885</v>
      </c>
      <c r="H275" s="99" t="s">
        <v>28</v>
      </c>
      <c r="I275" s="99" t="s">
        <v>994</v>
      </c>
      <c r="J275" s="99" t="s">
        <v>21</v>
      </c>
      <c r="K275" s="100" t="s">
        <v>8</v>
      </c>
    </row>
    <row r="276" spans="1:11" ht="28.8">
      <c r="A276" s="92">
        <f>_xlfn.XLOOKUP(B276,' Lista de Entrevistas'!B:B,' Lista de Entrevistas'!A:A,"")</f>
        <v>42</v>
      </c>
      <c r="B276" s="97" t="s">
        <v>520</v>
      </c>
      <c r="C276" s="97" t="s">
        <v>90</v>
      </c>
      <c r="D276" s="97" t="s">
        <v>145</v>
      </c>
      <c r="E276" s="97" t="s">
        <v>1228</v>
      </c>
      <c r="F276" s="97" t="s">
        <v>1052</v>
      </c>
      <c r="G276" s="97" t="s">
        <v>885</v>
      </c>
      <c r="H276" s="97" t="s">
        <v>28</v>
      </c>
      <c r="I276" s="97" t="s">
        <v>986</v>
      </c>
      <c r="J276" s="97" t="s">
        <v>21</v>
      </c>
      <c r="K276" s="98" t="s">
        <v>8</v>
      </c>
    </row>
    <row r="277" spans="1:11" ht="28.8">
      <c r="A277" s="94">
        <f>_xlfn.XLOOKUP(B277,' Lista de Entrevistas'!B:B,' Lista de Entrevistas'!A:A,"")</f>
        <v>43</v>
      </c>
      <c r="B277" s="99" t="s">
        <v>793</v>
      </c>
      <c r="C277" s="99" t="s">
        <v>90</v>
      </c>
      <c r="D277" s="99" t="s">
        <v>199</v>
      </c>
      <c r="E277" s="99" t="s">
        <v>1229</v>
      </c>
      <c r="F277" s="99" t="s">
        <v>1027</v>
      </c>
      <c r="G277" s="99" t="s">
        <v>402</v>
      </c>
      <c r="H277" s="99" t="s">
        <v>850</v>
      </c>
      <c r="I277" s="99" t="s">
        <v>990</v>
      </c>
      <c r="J277" s="99" t="s">
        <v>12</v>
      </c>
      <c r="K277" s="100" t="s">
        <v>8</v>
      </c>
    </row>
    <row r="278" spans="1:11" ht="28.8">
      <c r="A278" s="92">
        <f>_xlfn.XLOOKUP(B278,' Lista de Entrevistas'!B:B,' Lista de Entrevistas'!A:A,"")</f>
        <v>43</v>
      </c>
      <c r="B278" s="97" t="s">
        <v>793</v>
      </c>
      <c r="C278" s="97" t="s">
        <v>90</v>
      </c>
      <c r="D278" s="97" t="s">
        <v>199</v>
      </c>
      <c r="E278" s="97" t="s">
        <v>1229</v>
      </c>
      <c r="F278" s="97" t="s">
        <v>1027</v>
      </c>
      <c r="G278" s="97" t="s">
        <v>402</v>
      </c>
      <c r="H278" s="97" t="s">
        <v>850</v>
      </c>
      <c r="I278" s="97" t="s">
        <v>982</v>
      </c>
      <c r="J278" s="97" t="s">
        <v>12</v>
      </c>
      <c r="K278" s="98" t="s">
        <v>8</v>
      </c>
    </row>
    <row r="279" spans="1:11" ht="28.8">
      <c r="A279" s="94">
        <f>_xlfn.XLOOKUP(B279,' Lista de Entrevistas'!B:B,' Lista de Entrevistas'!A:A,"")</f>
        <v>44</v>
      </c>
      <c r="B279" s="99" t="s">
        <v>729</v>
      </c>
      <c r="C279" s="99" t="s">
        <v>83</v>
      </c>
      <c r="D279" s="99" t="s">
        <v>199</v>
      </c>
      <c r="E279" s="99" t="s">
        <v>1230</v>
      </c>
      <c r="F279" s="99" t="s">
        <v>1048</v>
      </c>
      <c r="G279" s="99" t="s">
        <v>883</v>
      </c>
      <c r="H279" s="99" t="s">
        <v>853</v>
      </c>
      <c r="I279" s="99" t="s">
        <v>994</v>
      </c>
      <c r="J279" s="99" t="s">
        <v>17</v>
      </c>
      <c r="K279" s="100" t="s">
        <v>8</v>
      </c>
    </row>
    <row r="280" spans="1:11" ht="28.8">
      <c r="A280" s="92">
        <f>_xlfn.XLOOKUP(B280,' Lista de Entrevistas'!B:B,' Lista de Entrevistas'!A:A,"")</f>
        <v>44</v>
      </c>
      <c r="B280" s="97" t="s">
        <v>729</v>
      </c>
      <c r="C280" s="97" t="s">
        <v>83</v>
      </c>
      <c r="D280" s="97" t="s">
        <v>199</v>
      </c>
      <c r="E280" s="97" t="s">
        <v>1230</v>
      </c>
      <c r="F280" s="97" t="s">
        <v>1048</v>
      </c>
      <c r="G280" s="97" t="s">
        <v>883</v>
      </c>
      <c r="H280" s="97" t="s">
        <v>853</v>
      </c>
      <c r="I280" s="97" t="s">
        <v>988</v>
      </c>
      <c r="J280" s="97" t="s">
        <v>17</v>
      </c>
      <c r="K280" s="98" t="s">
        <v>8</v>
      </c>
    </row>
    <row r="281" spans="1:11" ht="28.8">
      <c r="A281" s="94">
        <f>_xlfn.XLOOKUP(B281,' Lista de Entrevistas'!B:B,' Lista de Entrevistas'!A:A,"")</f>
        <v>44</v>
      </c>
      <c r="B281" s="99" t="s">
        <v>729</v>
      </c>
      <c r="C281" s="99" t="s">
        <v>83</v>
      </c>
      <c r="D281" s="99" t="s">
        <v>199</v>
      </c>
      <c r="E281" s="99" t="s">
        <v>1231</v>
      </c>
      <c r="F281" s="99" t="s">
        <v>1036</v>
      </c>
      <c r="G281" s="99" t="s">
        <v>883</v>
      </c>
      <c r="H281" s="99" t="s">
        <v>853</v>
      </c>
      <c r="I281" s="99" t="s">
        <v>994</v>
      </c>
      <c r="J281" s="99" t="s">
        <v>17</v>
      </c>
      <c r="K281" s="100" t="s">
        <v>8</v>
      </c>
    </row>
    <row r="282" spans="1:11" ht="28.8">
      <c r="A282" s="92">
        <f>_xlfn.XLOOKUP(B282,' Lista de Entrevistas'!B:B,' Lista de Entrevistas'!A:A,"")</f>
        <v>44</v>
      </c>
      <c r="B282" s="97" t="s">
        <v>729</v>
      </c>
      <c r="C282" s="97" t="s">
        <v>83</v>
      </c>
      <c r="D282" s="97" t="s">
        <v>199</v>
      </c>
      <c r="E282" s="97" t="s">
        <v>1231</v>
      </c>
      <c r="F282" s="97" t="s">
        <v>1036</v>
      </c>
      <c r="G282" s="97" t="s">
        <v>883</v>
      </c>
      <c r="H282" s="97" t="s">
        <v>853</v>
      </c>
      <c r="I282" s="97" t="s">
        <v>988</v>
      </c>
      <c r="J282" s="97" t="s">
        <v>17</v>
      </c>
      <c r="K282" s="98" t="s">
        <v>8</v>
      </c>
    </row>
    <row r="283" spans="1:11" ht="28.8">
      <c r="A283" s="94">
        <f>_xlfn.XLOOKUP(B283,' Lista de Entrevistas'!B:B,' Lista de Entrevistas'!A:A,"")</f>
        <v>45</v>
      </c>
      <c r="B283" s="99" t="s">
        <v>521</v>
      </c>
      <c r="C283" s="99" t="s">
        <v>83</v>
      </c>
      <c r="D283" s="99" t="s">
        <v>145</v>
      </c>
      <c r="E283" s="99" t="s">
        <v>1232</v>
      </c>
      <c r="F283" s="99" t="s">
        <v>1066</v>
      </c>
      <c r="G283" s="99" t="s">
        <v>885</v>
      </c>
      <c r="H283" s="99" t="s">
        <v>28</v>
      </c>
      <c r="I283" s="99" t="s">
        <v>994</v>
      </c>
      <c r="J283" s="99" t="s">
        <v>17</v>
      </c>
      <c r="K283" s="100" t="s">
        <v>8</v>
      </c>
    </row>
    <row r="284" spans="1:11" ht="28.8">
      <c r="A284" s="92">
        <f>_xlfn.XLOOKUP(B284,' Lista de Entrevistas'!B:B,' Lista de Entrevistas'!A:A,"")</f>
        <v>45</v>
      </c>
      <c r="B284" s="97" t="s">
        <v>521</v>
      </c>
      <c r="C284" s="97" t="s">
        <v>83</v>
      </c>
      <c r="D284" s="97" t="s">
        <v>145</v>
      </c>
      <c r="E284" s="97" t="s">
        <v>1232</v>
      </c>
      <c r="F284" s="97" t="s">
        <v>1066</v>
      </c>
      <c r="G284" s="97" t="s">
        <v>885</v>
      </c>
      <c r="H284" s="97" t="s">
        <v>28</v>
      </c>
      <c r="I284" s="97" t="s">
        <v>986</v>
      </c>
      <c r="J284" s="97" t="s">
        <v>17</v>
      </c>
      <c r="K284" s="98" t="s">
        <v>8</v>
      </c>
    </row>
    <row r="285" spans="1:11" ht="28.8">
      <c r="A285" s="94">
        <f>_xlfn.XLOOKUP(B285,' Lista de Entrevistas'!B:B,' Lista de Entrevistas'!A:A,"")</f>
        <v>45</v>
      </c>
      <c r="B285" s="99" t="s">
        <v>521</v>
      </c>
      <c r="C285" s="99" t="s">
        <v>83</v>
      </c>
      <c r="D285" s="99" t="s">
        <v>145</v>
      </c>
      <c r="E285" s="99" t="s">
        <v>1233</v>
      </c>
      <c r="F285" s="99" t="s">
        <v>1052</v>
      </c>
      <c r="G285" s="99" t="s">
        <v>885</v>
      </c>
      <c r="H285" s="99" t="s">
        <v>28</v>
      </c>
      <c r="I285" s="99" t="s">
        <v>994</v>
      </c>
      <c r="J285" s="99" t="s">
        <v>21</v>
      </c>
      <c r="K285" s="100" t="s">
        <v>8</v>
      </c>
    </row>
    <row r="286" spans="1:11" ht="28.8">
      <c r="A286" s="92">
        <f>_xlfn.XLOOKUP(B286,' Lista de Entrevistas'!B:B,' Lista de Entrevistas'!A:A,"")</f>
        <v>45</v>
      </c>
      <c r="B286" s="97" t="s">
        <v>521</v>
      </c>
      <c r="C286" s="97" t="s">
        <v>83</v>
      </c>
      <c r="D286" s="97" t="s">
        <v>145</v>
      </c>
      <c r="E286" s="97" t="s">
        <v>1233</v>
      </c>
      <c r="F286" s="97" t="s">
        <v>1052</v>
      </c>
      <c r="G286" s="97" t="s">
        <v>885</v>
      </c>
      <c r="H286" s="97" t="s">
        <v>28</v>
      </c>
      <c r="I286" s="97" t="s">
        <v>986</v>
      </c>
      <c r="J286" s="97" t="s">
        <v>21</v>
      </c>
      <c r="K286" s="98" t="s">
        <v>8</v>
      </c>
    </row>
    <row r="287" spans="1:11" ht="28.8">
      <c r="A287" s="94">
        <f>_xlfn.XLOOKUP(B287,' Lista de Entrevistas'!B:B,' Lista de Entrevistas'!A:A,"")</f>
        <v>46</v>
      </c>
      <c r="B287" s="99" t="s">
        <v>1404</v>
      </c>
      <c r="C287" s="99" t="s">
        <v>90</v>
      </c>
      <c r="D287" s="99" t="s">
        <v>121</v>
      </c>
      <c r="E287" s="99" t="s">
        <v>1234</v>
      </c>
      <c r="F287" s="99" t="s">
        <v>1070</v>
      </c>
      <c r="G287" s="99" t="s">
        <v>891</v>
      </c>
      <c r="H287" s="97" t="s">
        <v>890</v>
      </c>
      <c r="I287" s="99" t="s">
        <v>984</v>
      </c>
      <c r="J287" s="99" t="s">
        <v>21</v>
      </c>
      <c r="K287" s="100" t="s">
        <v>8</v>
      </c>
    </row>
    <row r="288" spans="1:11" ht="28.8">
      <c r="A288" s="92">
        <f>_xlfn.XLOOKUP(B288,' Lista de Entrevistas'!B:B,' Lista de Entrevistas'!A:A,"")</f>
        <v>46</v>
      </c>
      <c r="B288" s="99" t="s">
        <v>1404</v>
      </c>
      <c r="C288" s="97" t="s">
        <v>90</v>
      </c>
      <c r="D288" s="97" t="s">
        <v>121</v>
      </c>
      <c r="E288" s="97" t="s">
        <v>1234</v>
      </c>
      <c r="F288" s="97" t="s">
        <v>1070</v>
      </c>
      <c r="G288" s="97" t="s">
        <v>891</v>
      </c>
      <c r="H288" s="97" t="s">
        <v>890</v>
      </c>
      <c r="I288" s="97" t="s">
        <v>978</v>
      </c>
      <c r="J288" s="97" t="s">
        <v>21</v>
      </c>
      <c r="K288" s="98" t="s">
        <v>8</v>
      </c>
    </row>
    <row r="289" spans="1:11" ht="28.8">
      <c r="A289" s="94">
        <f>_xlfn.XLOOKUP(B289,' Lista de Entrevistas'!B:B,' Lista de Entrevistas'!A:A,"")</f>
        <v>46</v>
      </c>
      <c r="B289" s="99" t="s">
        <v>1404</v>
      </c>
      <c r="C289" s="99" t="s">
        <v>90</v>
      </c>
      <c r="D289" s="99" t="s">
        <v>121</v>
      </c>
      <c r="E289" s="99" t="s">
        <v>1235</v>
      </c>
      <c r="F289" s="99" t="s">
        <v>1048</v>
      </c>
      <c r="G289" s="99" t="s">
        <v>883</v>
      </c>
      <c r="H289" s="99" t="s">
        <v>853</v>
      </c>
      <c r="I289" s="99" t="s">
        <v>994</v>
      </c>
      <c r="J289" s="99" t="s">
        <v>12</v>
      </c>
      <c r="K289" s="100" t="s">
        <v>8</v>
      </c>
    </row>
    <row r="290" spans="1:11" ht="28.8">
      <c r="A290" s="92">
        <f>_xlfn.XLOOKUP(B290,' Lista de Entrevistas'!B:B,' Lista de Entrevistas'!A:A,"")</f>
        <v>46</v>
      </c>
      <c r="B290" s="99" t="s">
        <v>1404</v>
      </c>
      <c r="C290" s="97" t="s">
        <v>90</v>
      </c>
      <c r="D290" s="97" t="s">
        <v>121</v>
      </c>
      <c r="E290" s="97" t="s">
        <v>1235</v>
      </c>
      <c r="F290" s="97" t="s">
        <v>1048</v>
      </c>
      <c r="G290" s="97" t="s">
        <v>883</v>
      </c>
      <c r="H290" s="97" t="s">
        <v>853</v>
      </c>
      <c r="I290" s="97" t="s">
        <v>988</v>
      </c>
      <c r="J290" s="97" t="s">
        <v>12</v>
      </c>
      <c r="K290" s="98" t="s">
        <v>8</v>
      </c>
    </row>
    <row r="291" spans="1:11" ht="28.8">
      <c r="A291" s="92">
        <f>_xlfn.XLOOKUP(B291,' Lista de Entrevistas'!B:B,' Lista de Entrevistas'!A:A,"")</f>
        <v>47</v>
      </c>
      <c r="B291" s="99" t="s">
        <v>754</v>
      </c>
      <c r="C291" s="99" t="s">
        <v>117</v>
      </c>
      <c r="D291" s="99" t="s">
        <v>199</v>
      </c>
      <c r="E291" s="99" t="s">
        <v>1287</v>
      </c>
      <c r="F291" s="99" t="s">
        <v>1288</v>
      </c>
      <c r="G291" s="99" t="s">
        <v>858</v>
      </c>
      <c r="H291" s="99" t="s">
        <v>854</v>
      </c>
      <c r="I291" s="99" t="s">
        <v>984</v>
      </c>
      <c r="J291" s="99" t="s">
        <v>17</v>
      </c>
      <c r="K291" s="100" t="s">
        <v>8</v>
      </c>
    </row>
    <row r="292" spans="1:11" ht="28.8">
      <c r="A292" s="92">
        <f>_xlfn.XLOOKUP(B292,' Lista de Entrevistas'!B:B,' Lista de Entrevistas'!A:A,"")</f>
        <v>47</v>
      </c>
      <c r="B292" s="99" t="s">
        <v>754</v>
      </c>
      <c r="C292" s="97" t="s">
        <v>117</v>
      </c>
      <c r="D292" s="97" t="s">
        <v>199</v>
      </c>
      <c r="E292" s="97" t="s">
        <v>1289</v>
      </c>
      <c r="F292" s="97" t="s">
        <v>1290</v>
      </c>
      <c r="G292" s="97" t="s">
        <v>858</v>
      </c>
      <c r="H292" s="97" t="s">
        <v>854</v>
      </c>
      <c r="I292" s="97" t="s">
        <v>982</v>
      </c>
      <c r="J292" s="97" t="s">
        <v>17</v>
      </c>
      <c r="K292" s="98" t="s">
        <v>13</v>
      </c>
    </row>
    <row r="293" spans="1:11" ht="28.8">
      <c r="A293" s="92">
        <f>_xlfn.XLOOKUP(B293,' Lista de Entrevistas'!B:B,' Lista de Entrevistas'!A:A,"")</f>
        <v>47</v>
      </c>
      <c r="B293" s="99" t="s">
        <v>754</v>
      </c>
      <c r="C293" s="99" t="s">
        <v>117</v>
      </c>
      <c r="D293" s="99" t="s">
        <v>199</v>
      </c>
      <c r="E293" s="99" t="s">
        <v>1291</v>
      </c>
      <c r="F293" s="99" t="s">
        <v>1292</v>
      </c>
      <c r="G293" s="99" t="s">
        <v>886</v>
      </c>
      <c r="H293" s="99" t="s">
        <v>28</v>
      </c>
      <c r="I293" s="99" t="s">
        <v>994</v>
      </c>
      <c r="J293" s="99" t="s">
        <v>21</v>
      </c>
      <c r="K293" s="100" t="s">
        <v>8</v>
      </c>
    </row>
    <row r="294" spans="1:11" ht="28.8">
      <c r="A294" s="92">
        <f>_xlfn.XLOOKUP(B294,' Lista de Entrevistas'!B:B,' Lista de Entrevistas'!A:A,"")</f>
        <v>47</v>
      </c>
      <c r="B294" s="99" t="s">
        <v>754</v>
      </c>
      <c r="C294" s="97" t="s">
        <v>117</v>
      </c>
      <c r="D294" s="97" t="s">
        <v>199</v>
      </c>
      <c r="E294" s="97" t="s">
        <v>1293</v>
      </c>
      <c r="F294" s="97" t="s">
        <v>1294</v>
      </c>
      <c r="G294" s="97" t="s">
        <v>861</v>
      </c>
      <c r="H294" s="97" t="s">
        <v>854</v>
      </c>
      <c r="I294" s="97" t="s">
        <v>986</v>
      </c>
      <c r="J294" s="97" t="s">
        <v>17</v>
      </c>
      <c r="K294" s="98" t="s">
        <v>8</v>
      </c>
    </row>
    <row r="295" spans="1:11" ht="43.2">
      <c r="A295" s="92">
        <f>_xlfn.XLOOKUP(B295,' Lista de Entrevistas'!B:B,' Lista de Entrevistas'!A:A,"")</f>
        <v>47</v>
      </c>
      <c r="B295" s="99" t="s">
        <v>754</v>
      </c>
      <c r="C295" s="99" t="s">
        <v>117</v>
      </c>
      <c r="D295" s="99" t="s">
        <v>199</v>
      </c>
      <c r="E295" s="99" t="s">
        <v>1295</v>
      </c>
      <c r="F295" s="99" t="s">
        <v>1296</v>
      </c>
      <c r="G295" s="99" t="s">
        <v>876</v>
      </c>
      <c r="H295" s="97" t="s">
        <v>890</v>
      </c>
      <c r="I295" s="99" t="s">
        <v>984</v>
      </c>
      <c r="J295" s="99" t="s">
        <v>17</v>
      </c>
      <c r="K295" s="100" t="s">
        <v>13</v>
      </c>
    </row>
    <row r="296" spans="1:11" ht="28.8">
      <c r="A296" s="92">
        <f>_xlfn.XLOOKUP(B296,' Lista de Entrevistas'!B:B,' Lista de Entrevistas'!A:A,"")</f>
        <v>47</v>
      </c>
      <c r="B296" s="99" t="s">
        <v>754</v>
      </c>
      <c r="C296" s="97" t="s">
        <v>117</v>
      </c>
      <c r="D296" s="97" t="s">
        <v>199</v>
      </c>
      <c r="E296" s="97" t="s">
        <v>1297</v>
      </c>
      <c r="F296" s="97" t="s">
        <v>1019</v>
      </c>
      <c r="G296" s="97" t="s">
        <v>877</v>
      </c>
      <c r="H296" s="97" t="s">
        <v>850</v>
      </c>
      <c r="I296" s="97" t="s">
        <v>984</v>
      </c>
      <c r="J296" s="97" t="s">
        <v>21</v>
      </c>
      <c r="K296" s="98" t="s">
        <v>8</v>
      </c>
    </row>
    <row r="297" spans="1:11" ht="28.8">
      <c r="A297" s="92">
        <f>_xlfn.XLOOKUP(B297,' Lista de Entrevistas'!B:B,' Lista de Entrevistas'!A:A,"")</f>
        <v>47</v>
      </c>
      <c r="B297" s="99" t="s">
        <v>754</v>
      </c>
      <c r="C297" s="99" t="s">
        <v>117</v>
      </c>
      <c r="D297" s="99" t="s">
        <v>199</v>
      </c>
      <c r="E297" s="99" t="s">
        <v>1297</v>
      </c>
      <c r="F297" s="99" t="s">
        <v>1019</v>
      </c>
      <c r="G297" s="99" t="s">
        <v>877</v>
      </c>
      <c r="H297" s="99" t="s">
        <v>850</v>
      </c>
      <c r="I297" s="99" t="s">
        <v>994</v>
      </c>
      <c r="J297" s="99" t="s">
        <v>21</v>
      </c>
      <c r="K297" s="100" t="s">
        <v>8</v>
      </c>
    </row>
    <row r="298" spans="1:11" ht="28.8">
      <c r="A298" s="92">
        <f>_xlfn.XLOOKUP(B298,' Lista de Entrevistas'!B:B,' Lista de Entrevistas'!A:A,"")</f>
        <v>48</v>
      </c>
      <c r="B298" s="161" t="s">
        <v>1265</v>
      </c>
      <c r="C298" s="161" t="s">
        <v>117</v>
      </c>
      <c r="D298" s="161" t="s">
        <v>199</v>
      </c>
      <c r="E298" s="161" t="s">
        <v>1519</v>
      </c>
      <c r="F298" s="161" t="s">
        <v>1520</v>
      </c>
      <c r="G298" s="161" t="s">
        <v>885</v>
      </c>
      <c r="H298" s="161" t="s">
        <v>28</v>
      </c>
      <c r="I298" s="161" t="s">
        <v>986</v>
      </c>
      <c r="J298" s="161" t="s">
        <v>17</v>
      </c>
      <c r="K298" s="164" t="s">
        <v>8</v>
      </c>
    </row>
    <row r="299" spans="1:11" ht="28.8">
      <c r="A299" s="92">
        <f>_xlfn.XLOOKUP(B299,' Lista de Entrevistas'!B:B,' Lista de Entrevistas'!A:A,"")</f>
        <v>48</v>
      </c>
      <c r="B299" s="161" t="s">
        <v>1265</v>
      </c>
      <c r="C299" s="161" t="s">
        <v>117</v>
      </c>
      <c r="D299" s="161" t="s">
        <v>199</v>
      </c>
      <c r="E299" s="161" t="s">
        <v>1521</v>
      </c>
      <c r="F299" s="161" t="s">
        <v>1522</v>
      </c>
      <c r="G299" s="161" t="s">
        <v>862</v>
      </c>
      <c r="H299" s="161" t="s">
        <v>854</v>
      </c>
      <c r="I299" s="161" t="s">
        <v>986</v>
      </c>
      <c r="J299" s="161" t="s">
        <v>12</v>
      </c>
      <c r="K299" s="164" t="s">
        <v>8</v>
      </c>
    </row>
    <row r="300" spans="1:11" ht="28.8">
      <c r="A300" s="92">
        <f>_xlfn.XLOOKUP(B300,' Lista de Entrevistas'!B:B,' Lista de Entrevistas'!A:A,"")</f>
        <v>48</v>
      </c>
      <c r="B300" s="161" t="s">
        <v>1265</v>
      </c>
      <c r="C300" s="161" t="s">
        <v>117</v>
      </c>
      <c r="D300" s="161" t="s">
        <v>199</v>
      </c>
      <c r="E300" s="161" t="s">
        <v>1523</v>
      </c>
      <c r="F300" s="161" t="s">
        <v>1524</v>
      </c>
      <c r="G300" s="161" t="s">
        <v>862</v>
      </c>
      <c r="H300" s="161" t="s">
        <v>854</v>
      </c>
      <c r="I300" s="161" t="s">
        <v>978</v>
      </c>
      <c r="J300" s="161" t="s">
        <v>12</v>
      </c>
      <c r="K300" s="164" t="s">
        <v>8</v>
      </c>
    </row>
    <row r="301" spans="1:11" ht="28.8">
      <c r="A301" s="92">
        <f>_xlfn.XLOOKUP(B301,' Lista de Entrevistas'!B:B,' Lista de Entrevistas'!A:A,"")</f>
        <v>48</v>
      </c>
      <c r="B301" s="161" t="s">
        <v>1265</v>
      </c>
      <c r="C301" s="161" t="s">
        <v>117</v>
      </c>
      <c r="D301" s="161" t="s">
        <v>199</v>
      </c>
      <c r="E301" s="161" t="s">
        <v>1525</v>
      </c>
      <c r="F301" s="161" t="s">
        <v>1526</v>
      </c>
      <c r="G301" s="161" t="s">
        <v>878</v>
      </c>
      <c r="H301" s="161" t="s">
        <v>850</v>
      </c>
      <c r="I301" s="161" t="s">
        <v>994</v>
      </c>
      <c r="J301" s="161" t="s">
        <v>21</v>
      </c>
      <c r="K301" s="164" t="s">
        <v>8</v>
      </c>
    </row>
    <row r="302" spans="1:11" ht="28.8">
      <c r="A302" s="92">
        <f>_xlfn.XLOOKUP(B302,' Lista de Entrevistas'!B:B,' Lista de Entrevistas'!A:A,"")</f>
        <v>48</v>
      </c>
      <c r="B302" s="161" t="s">
        <v>1265</v>
      </c>
      <c r="C302" s="161" t="s">
        <v>117</v>
      </c>
      <c r="D302" s="161" t="s">
        <v>199</v>
      </c>
      <c r="E302" s="161" t="s">
        <v>1527</v>
      </c>
      <c r="F302" s="161" t="s">
        <v>1528</v>
      </c>
      <c r="G302" s="161" t="s">
        <v>824</v>
      </c>
      <c r="H302" s="161" t="s">
        <v>853</v>
      </c>
      <c r="I302" s="161" t="s">
        <v>994</v>
      </c>
      <c r="J302" s="161" t="s">
        <v>12</v>
      </c>
      <c r="K302" s="164" t="s">
        <v>8</v>
      </c>
    </row>
    <row r="303" spans="1:11" ht="43.2">
      <c r="A303" s="92">
        <f>_xlfn.XLOOKUP(B303,' Lista de Entrevistas'!B:B,' Lista de Entrevistas'!A:A,"")</f>
        <v>48</v>
      </c>
      <c r="B303" s="161" t="s">
        <v>1265</v>
      </c>
      <c r="C303" s="161" t="s">
        <v>117</v>
      </c>
      <c r="D303" s="161" t="s">
        <v>199</v>
      </c>
      <c r="E303" s="161" t="s">
        <v>1529</v>
      </c>
      <c r="F303" s="161" t="s">
        <v>1530</v>
      </c>
      <c r="G303" s="161" t="s">
        <v>824</v>
      </c>
      <c r="H303" s="161" t="s">
        <v>853</v>
      </c>
      <c r="I303" s="161" t="s">
        <v>988</v>
      </c>
      <c r="J303" s="161" t="s">
        <v>12</v>
      </c>
      <c r="K303" s="164" t="s">
        <v>8</v>
      </c>
    </row>
    <row r="304" spans="1:11" ht="28.8">
      <c r="A304" s="92">
        <f>_xlfn.XLOOKUP(B304,' Lista de Entrevistas'!B:B,' Lista de Entrevistas'!A:A,"")</f>
        <v>48</v>
      </c>
      <c r="B304" s="161" t="s">
        <v>1265</v>
      </c>
      <c r="C304" s="161" t="s">
        <v>117</v>
      </c>
      <c r="D304" s="161" t="s">
        <v>199</v>
      </c>
      <c r="E304" s="161" t="s">
        <v>1531</v>
      </c>
      <c r="F304" s="161" t="s">
        <v>1532</v>
      </c>
      <c r="G304" s="161" t="s">
        <v>862</v>
      </c>
      <c r="H304" s="161" t="s">
        <v>854</v>
      </c>
      <c r="I304" s="161" t="s">
        <v>986</v>
      </c>
      <c r="J304" s="161" t="s">
        <v>12</v>
      </c>
      <c r="K304" s="164" t="s">
        <v>8</v>
      </c>
    </row>
    <row r="305" spans="1:11" ht="43.2">
      <c r="A305" s="92">
        <f>_xlfn.XLOOKUP(B305,' Lista de Entrevistas'!B:B,' Lista de Entrevistas'!A:A,"")</f>
        <v>48</v>
      </c>
      <c r="B305" s="161" t="s">
        <v>1265</v>
      </c>
      <c r="C305" s="161" t="s">
        <v>117</v>
      </c>
      <c r="D305" s="161" t="s">
        <v>199</v>
      </c>
      <c r="E305" s="161" t="s">
        <v>1533</v>
      </c>
      <c r="F305" s="161" t="s">
        <v>1534</v>
      </c>
      <c r="G305" s="161" t="s">
        <v>873</v>
      </c>
      <c r="H305" s="161" t="s">
        <v>890</v>
      </c>
      <c r="I305" s="161" t="s">
        <v>986</v>
      </c>
      <c r="J305" s="161" t="s">
        <v>17</v>
      </c>
      <c r="K305" s="164" t="s">
        <v>8</v>
      </c>
    </row>
    <row r="306" spans="1:11" ht="28.8">
      <c r="A306" s="92">
        <f>_xlfn.XLOOKUP(B306,' Lista de Entrevistas'!B:B,' Lista de Entrevistas'!A:A,"")</f>
        <v>48</v>
      </c>
      <c r="B306" s="161" t="s">
        <v>1265</v>
      </c>
      <c r="C306" s="161" t="s">
        <v>117</v>
      </c>
      <c r="D306" s="161" t="s">
        <v>199</v>
      </c>
      <c r="E306" s="161" t="s">
        <v>1535</v>
      </c>
      <c r="F306" s="161" t="s">
        <v>1536</v>
      </c>
      <c r="G306" s="161" t="s">
        <v>884</v>
      </c>
      <c r="H306" s="161" t="s">
        <v>28</v>
      </c>
      <c r="I306" s="161" t="s">
        <v>986</v>
      </c>
      <c r="J306" s="161" t="s">
        <v>17</v>
      </c>
      <c r="K306" s="164" t="s">
        <v>8</v>
      </c>
    </row>
    <row r="307" spans="1:11" ht="28.8">
      <c r="A307" s="92">
        <f>_xlfn.XLOOKUP(B307,' Lista de Entrevistas'!B:B,' Lista de Entrevistas'!A:A,"")</f>
        <v>48</v>
      </c>
      <c r="B307" s="161" t="s">
        <v>1265</v>
      </c>
      <c r="C307" s="161" t="s">
        <v>117</v>
      </c>
      <c r="D307" s="161" t="s">
        <v>199</v>
      </c>
      <c r="E307" s="161" t="s">
        <v>1537</v>
      </c>
      <c r="F307" s="161" t="s">
        <v>1538</v>
      </c>
      <c r="G307" s="161" t="s">
        <v>872</v>
      </c>
      <c r="H307" s="161" t="s">
        <v>890</v>
      </c>
      <c r="I307" s="161" t="s">
        <v>986</v>
      </c>
      <c r="J307" s="161" t="s">
        <v>17</v>
      </c>
      <c r="K307" s="164" t="s">
        <v>8</v>
      </c>
    </row>
    <row r="308" spans="1:11" ht="28.8">
      <c r="A308" s="92">
        <f>_xlfn.XLOOKUP(B308,' Lista de Entrevistas'!B:B,' Lista de Entrevistas'!A:A,"")</f>
        <v>48</v>
      </c>
      <c r="B308" s="161" t="s">
        <v>1265</v>
      </c>
      <c r="C308" s="161" t="s">
        <v>117</v>
      </c>
      <c r="D308" s="161" t="s">
        <v>199</v>
      </c>
      <c r="E308" s="161" t="s">
        <v>1539</v>
      </c>
      <c r="F308" s="161" t="s">
        <v>1540</v>
      </c>
      <c r="G308" s="161" t="s">
        <v>862</v>
      </c>
      <c r="H308" s="161" t="s">
        <v>854</v>
      </c>
      <c r="I308" s="161" t="s">
        <v>980</v>
      </c>
      <c r="J308" s="161" t="s">
        <v>12</v>
      </c>
      <c r="K308" s="164" t="s">
        <v>13</v>
      </c>
    </row>
    <row r="309" spans="1:11" ht="43.2">
      <c r="A309" s="92">
        <f>_xlfn.XLOOKUP(B309,' Lista de Entrevistas'!B:B,' Lista de Entrevistas'!A:A,"")</f>
        <v>48</v>
      </c>
      <c r="B309" s="161" t="s">
        <v>1265</v>
      </c>
      <c r="C309" s="161" t="s">
        <v>117</v>
      </c>
      <c r="D309" s="161" t="s">
        <v>199</v>
      </c>
      <c r="E309" s="161" t="s">
        <v>1541</v>
      </c>
      <c r="F309" s="161" t="s">
        <v>1542</v>
      </c>
      <c r="G309" s="161" t="s">
        <v>862</v>
      </c>
      <c r="H309" s="161" t="s">
        <v>854</v>
      </c>
      <c r="I309" s="161" t="s">
        <v>980</v>
      </c>
      <c r="J309" s="161" t="s">
        <v>12</v>
      </c>
      <c r="K309" s="164" t="s">
        <v>13</v>
      </c>
    </row>
    <row r="310" spans="1:11" ht="28.8">
      <c r="A310" s="92">
        <f>_xlfn.XLOOKUP(B310,' Lista de Entrevistas'!B:B,' Lista de Entrevistas'!A:A,"")</f>
        <v>48</v>
      </c>
      <c r="B310" s="161" t="s">
        <v>1265</v>
      </c>
      <c r="C310" s="161" t="s">
        <v>117</v>
      </c>
      <c r="D310" s="161" t="s">
        <v>199</v>
      </c>
      <c r="E310" s="161" t="s">
        <v>1543</v>
      </c>
      <c r="F310" s="161" t="s">
        <v>1544</v>
      </c>
      <c r="G310" s="161" t="s">
        <v>862</v>
      </c>
      <c r="H310" s="161" t="s">
        <v>854</v>
      </c>
      <c r="I310" s="161" t="s">
        <v>982</v>
      </c>
      <c r="J310" s="161" t="s">
        <v>17</v>
      </c>
      <c r="K310" s="164" t="s">
        <v>13</v>
      </c>
    </row>
    <row r="311" spans="1:11" ht="28.8">
      <c r="A311" s="92">
        <f>_xlfn.XLOOKUP(B311,' Lista de Entrevistas'!B:B,' Lista de Entrevistas'!A:A,"")</f>
        <v>48</v>
      </c>
      <c r="B311" s="161" t="s">
        <v>1265</v>
      </c>
      <c r="C311" s="161" t="s">
        <v>117</v>
      </c>
      <c r="D311" s="161" t="s">
        <v>199</v>
      </c>
      <c r="E311" s="161" t="s">
        <v>1545</v>
      </c>
      <c r="F311" s="161" t="s">
        <v>1546</v>
      </c>
      <c r="G311" s="161" t="s">
        <v>875</v>
      </c>
      <c r="H311" s="161" t="s">
        <v>890</v>
      </c>
      <c r="I311" s="161" t="s">
        <v>984</v>
      </c>
      <c r="J311" s="161" t="s">
        <v>17</v>
      </c>
      <c r="K311" s="164" t="s">
        <v>8</v>
      </c>
    </row>
    <row r="312" spans="1:11" ht="28.8">
      <c r="A312" s="92">
        <f>_xlfn.XLOOKUP(B312,' Lista de Entrevistas'!B:B,' Lista de Entrevistas'!A:A,"")</f>
        <v>49</v>
      </c>
      <c r="B312" s="97" t="s">
        <v>508</v>
      </c>
      <c r="C312" s="97" t="s">
        <v>117</v>
      </c>
      <c r="D312" s="97" t="s">
        <v>121</v>
      </c>
      <c r="E312" s="97" t="s">
        <v>1298</v>
      </c>
      <c r="F312" s="97" t="s">
        <v>1299</v>
      </c>
      <c r="G312" s="97" t="s">
        <v>862</v>
      </c>
      <c r="H312" s="97" t="s">
        <v>854</v>
      </c>
      <c r="I312" s="97" t="s">
        <v>980</v>
      </c>
      <c r="J312" s="97" t="s">
        <v>17</v>
      </c>
      <c r="K312" s="98" t="s">
        <v>13</v>
      </c>
    </row>
    <row r="313" spans="1:11" ht="43.2">
      <c r="A313" s="92">
        <f>_xlfn.XLOOKUP(B313,' Lista de Entrevistas'!B:B,' Lista de Entrevistas'!A:A,"")</f>
        <v>49</v>
      </c>
      <c r="B313" s="97" t="s">
        <v>508</v>
      </c>
      <c r="C313" s="99" t="s">
        <v>117</v>
      </c>
      <c r="D313" s="99" t="s">
        <v>121</v>
      </c>
      <c r="E313" s="99" t="s">
        <v>1300</v>
      </c>
      <c r="F313" s="99" t="s">
        <v>1301</v>
      </c>
      <c r="G313" s="99" t="s">
        <v>884</v>
      </c>
      <c r="H313" s="99" t="s">
        <v>28</v>
      </c>
      <c r="I313" s="99" t="s">
        <v>980</v>
      </c>
      <c r="J313" s="99" t="s">
        <v>17</v>
      </c>
      <c r="K313" s="100" t="s">
        <v>13</v>
      </c>
    </row>
    <row r="314" spans="1:11" ht="28.8">
      <c r="A314" s="92">
        <f>_xlfn.XLOOKUP(B314,' Lista de Entrevistas'!B:B,' Lista de Entrevistas'!A:A,"")</f>
        <v>49</v>
      </c>
      <c r="B314" s="97" t="s">
        <v>508</v>
      </c>
      <c r="C314" s="97" t="s">
        <v>117</v>
      </c>
      <c r="D314" s="97" t="s">
        <v>121</v>
      </c>
      <c r="E314" s="97" t="s">
        <v>1302</v>
      </c>
      <c r="F314" s="97" t="s">
        <v>1303</v>
      </c>
      <c r="G314" s="97" t="s">
        <v>878</v>
      </c>
      <c r="H314" s="97" t="s">
        <v>850</v>
      </c>
      <c r="I314" s="97" t="s">
        <v>986</v>
      </c>
      <c r="J314" s="97" t="s">
        <v>17</v>
      </c>
      <c r="K314" s="98" t="s">
        <v>8</v>
      </c>
    </row>
    <row r="315" spans="1:11" ht="28.8">
      <c r="A315" s="92">
        <f>_xlfn.XLOOKUP(B315,' Lista de Entrevistas'!B:B,' Lista de Entrevistas'!A:A,"")</f>
        <v>49</v>
      </c>
      <c r="B315" s="97" t="s">
        <v>508</v>
      </c>
      <c r="C315" s="99" t="s">
        <v>117</v>
      </c>
      <c r="D315" s="99" t="s">
        <v>121</v>
      </c>
      <c r="E315" s="99" t="s">
        <v>1304</v>
      </c>
      <c r="F315" s="99" t="s">
        <v>1305</v>
      </c>
      <c r="G315" s="99" t="s">
        <v>879</v>
      </c>
      <c r="H315" s="99" t="s">
        <v>850</v>
      </c>
      <c r="I315" s="99" t="s">
        <v>994</v>
      </c>
      <c r="J315" s="99" t="s">
        <v>17</v>
      </c>
      <c r="K315" s="100" t="s">
        <v>8</v>
      </c>
    </row>
    <row r="316" spans="1:11" ht="28.8">
      <c r="A316" s="92">
        <f>_xlfn.XLOOKUP(B316,' Lista de Entrevistas'!B:B,' Lista de Entrevistas'!A:A,"")</f>
        <v>49</v>
      </c>
      <c r="B316" s="97" t="s">
        <v>508</v>
      </c>
      <c r="C316" s="97" t="s">
        <v>117</v>
      </c>
      <c r="D316" s="97" t="s">
        <v>121</v>
      </c>
      <c r="E316" s="97" t="s">
        <v>1306</v>
      </c>
      <c r="F316" s="97" t="s">
        <v>1307</v>
      </c>
      <c r="G316" s="97" t="s">
        <v>893</v>
      </c>
      <c r="H316" s="97" t="s">
        <v>890</v>
      </c>
      <c r="I316" s="97" t="s">
        <v>986</v>
      </c>
      <c r="J316" s="97" t="s">
        <v>12</v>
      </c>
      <c r="K316" s="98" t="s">
        <v>8</v>
      </c>
    </row>
    <row r="317" spans="1:11" ht="28.8">
      <c r="A317" s="92">
        <f>_xlfn.XLOOKUP(B317,' Lista de Entrevistas'!B:B,' Lista de Entrevistas'!A:A,"")</f>
        <v>49</v>
      </c>
      <c r="B317" s="97" t="s">
        <v>508</v>
      </c>
      <c r="C317" s="99" t="s">
        <v>117</v>
      </c>
      <c r="D317" s="99" t="s">
        <v>121</v>
      </c>
      <c r="E317" s="99" t="s">
        <v>1308</v>
      </c>
      <c r="F317" s="99" t="s">
        <v>1309</v>
      </c>
      <c r="G317" s="99" t="s">
        <v>881</v>
      </c>
      <c r="H317" s="99" t="s">
        <v>853</v>
      </c>
      <c r="I317" s="99" t="s">
        <v>992</v>
      </c>
      <c r="J317" s="99" t="s">
        <v>12</v>
      </c>
      <c r="K317" s="100" t="s">
        <v>8</v>
      </c>
    </row>
    <row r="318" spans="1:11" ht="43.2">
      <c r="A318" s="92">
        <f>_xlfn.XLOOKUP(B318,' Lista de Entrevistas'!B:B,' Lista de Entrevistas'!A:A,"")</f>
        <v>49</v>
      </c>
      <c r="B318" s="97" t="s">
        <v>508</v>
      </c>
      <c r="C318" s="97" t="s">
        <v>117</v>
      </c>
      <c r="D318" s="97" t="s">
        <v>121</v>
      </c>
      <c r="E318" s="97" t="s">
        <v>1310</v>
      </c>
      <c r="F318" s="97" t="s">
        <v>1311</v>
      </c>
      <c r="G318" s="97" t="s">
        <v>877</v>
      </c>
      <c r="H318" s="97" t="s">
        <v>850</v>
      </c>
      <c r="I318" s="97" t="s">
        <v>986</v>
      </c>
      <c r="J318" s="97" t="s">
        <v>17</v>
      </c>
      <c r="K318" s="98" t="s">
        <v>8</v>
      </c>
    </row>
    <row r="319" spans="1:11" ht="28.8">
      <c r="A319" s="92">
        <f>_xlfn.XLOOKUP(B319,' Lista de Entrevistas'!B:B,' Lista de Entrevistas'!A:A,"")</f>
        <v>49</v>
      </c>
      <c r="B319" s="97" t="s">
        <v>508</v>
      </c>
      <c r="C319" s="99" t="s">
        <v>117</v>
      </c>
      <c r="D319" s="99" t="s">
        <v>121</v>
      </c>
      <c r="E319" s="99" t="s">
        <v>1312</v>
      </c>
      <c r="F319" s="99" t="s">
        <v>1313</v>
      </c>
      <c r="G319" s="99" t="s">
        <v>872</v>
      </c>
      <c r="H319" s="97" t="s">
        <v>890</v>
      </c>
      <c r="I319" s="99" t="s">
        <v>986</v>
      </c>
      <c r="J319" s="99" t="s">
        <v>17</v>
      </c>
      <c r="K319" s="100" t="s">
        <v>13</v>
      </c>
    </row>
    <row r="320" spans="1:11" ht="28.8">
      <c r="A320" s="92">
        <f>_xlfn.XLOOKUP(B320,' Lista de Entrevistas'!B:B,' Lista de Entrevistas'!A:A,"")</f>
        <v>49</v>
      </c>
      <c r="B320" s="97" t="s">
        <v>508</v>
      </c>
      <c r="C320" s="97" t="s">
        <v>117</v>
      </c>
      <c r="D320" s="97" t="s">
        <v>121</v>
      </c>
      <c r="E320" s="97" t="s">
        <v>1314</v>
      </c>
      <c r="F320" s="97" t="s">
        <v>1315</v>
      </c>
      <c r="G320" s="97" t="s">
        <v>873</v>
      </c>
      <c r="H320" s="97" t="s">
        <v>890</v>
      </c>
      <c r="I320" s="97" t="s">
        <v>986</v>
      </c>
      <c r="J320" s="97" t="s">
        <v>17</v>
      </c>
      <c r="K320" s="98" t="s">
        <v>8</v>
      </c>
    </row>
    <row r="321" spans="1:11" ht="28.8">
      <c r="A321" s="92">
        <f>_xlfn.XLOOKUP(B321,' Lista de Entrevistas'!B:B,' Lista de Entrevistas'!A:A,"")</f>
        <v>49</v>
      </c>
      <c r="B321" s="97" t="s">
        <v>508</v>
      </c>
      <c r="C321" s="99" t="s">
        <v>117</v>
      </c>
      <c r="D321" s="99" t="s">
        <v>121</v>
      </c>
      <c r="E321" s="99" t="s">
        <v>1316</v>
      </c>
      <c r="F321" s="99" t="s">
        <v>1317</v>
      </c>
      <c r="G321" s="99" t="s">
        <v>863</v>
      </c>
      <c r="H321" s="99" t="s">
        <v>854</v>
      </c>
      <c r="I321" s="99" t="s">
        <v>994</v>
      </c>
      <c r="J321" s="99" t="s">
        <v>17</v>
      </c>
      <c r="K321" s="100" t="s">
        <v>13</v>
      </c>
    </row>
    <row r="322" spans="1:11" ht="28.8">
      <c r="A322" s="92">
        <f>_xlfn.XLOOKUP(B322,' Lista de Entrevistas'!B:B,' Lista de Entrevistas'!A:A,"")</f>
        <v>49</v>
      </c>
      <c r="B322" s="97" t="s">
        <v>508</v>
      </c>
      <c r="C322" s="97" t="s">
        <v>117</v>
      </c>
      <c r="D322" s="97" t="s">
        <v>121</v>
      </c>
      <c r="E322" s="97" t="s">
        <v>1318</v>
      </c>
      <c r="F322" s="97" t="s">
        <v>1319</v>
      </c>
      <c r="G322" s="97" t="s">
        <v>824</v>
      </c>
      <c r="H322" s="97" t="s">
        <v>853</v>
      </c>
      <c r="I322" s="97" t="s">
        <v>992</v>
      </c>
      <c r="J322" s="97" t="s">
        <v>12</v>
      </c>
      <c r="K322" s="98" t="s">
        <v>8</v>
      </c>
    </row>
    <row r="323" spans="1:11" ht="28.8">
      <c r="A323" s="92">
        <f>_xlfn.XLOOKUP(B323,' Lista de Entrevistas'!B:B,' Lista de Entrevistas'!A:A,"")</f>
        <v>49</v>
      </c>
      <c r="B323" s="97" t="s">
        <v>508</v>
      </c>
      <c r="C323" s="99" t="s">
        <v>117</v>
      </c>
      <c r="D323" s="99" t="s">
        <v>121</v>
      </c>
      <c r="E323" s="99" t="s">
        <v>1318</v>
      </c>
      <c r="F323" s="99" t="s">
        <v>1319</v>
      </c>
      <c r="G323" s="99" t="s">
        <v>824</v>
      </c>
      <c r="H323" s="99" t="s">
        <v>853</v>
      </c>
      <c r="I323" s="99" t="s">
        <v>986</v>
      </c>
      <c r="J323" s="99" t="s">
        <v>12</v>
      </c>
      <c r="K323" s="100" t="s">
        <v>8</v>
      </c>
    </row>
    <row r="324" spans="1:11" ht="43.2">
      <c r="A324" s="92">
        <f>_xlfn.XLOOKUP(B324,' Lista de Entrevistas'!B:B,' Lista de Entrevistas'!A:A,"")</f>
        <v>49</v>
      </c>
      <c r="B324" s="97" t="s">
        <v>508</v>
      </c>
      <c r="C324" s="97" t="s">
        <v>117</v>
      </c>
      <c r="D324" s="97" t="s">
        <v>121</v>
      </c>
      <c r="E324" s="97" t="s">
        <v>1320</v>
      </c>
      <c r="F324" s="97" t="s">
        <v>1321</v>
      </c>
      <c r="G324" s="97" t="s">
        <v>891</v>
      </c>
      <c r="H324" s="97" t="s">
        <v>890</v>
      </c>
      <c r="I324" s="97" t="s">
        <v>986</v>
      </c>
      <c r="J324" s="97" t="s">
        <v>17</v>
      </c>
      <c r="K324" s="98" t="s">
        <v>8</v>
      </c>
    </row>
    <row r="325" spans="1:11" ht="28.8">
      <c r="A325" s="92">
        <f>_xlfn.XLOOKUP(B325,' Lista de Entrevistas'!B:B,' Lista de Entrevistas'!A:A,"")</f>
        <v>50</v>
      </c>
      <c r="B325" s="161" t="s">
        <v>438</v>
      </c>
      <c r="C325" s="161" t="s">
        <v>1490</v>
      </c>
      <c r="D325" s="161" t="s">
        <v>145</v>
      </c>
      <c r="E325" s="161" t="s">
        <v>1491</v>
      </c>
      <c r="F325" s="161" t="s">
        <v>1492</v>
      </c>
      <c r="G325" s="161" t="s">
        <v>858</v>
      </c>
      <c r="H325" s="161" t="s">
        <v>854</v>
      </c>
      <c r="I325" s="161" t="s">
        <v>982</v>
      </c>
      <c r="J325" s="161" t="s">
        <v>21</v>
      </c>
      <c r="K325" s="164" t="s">
        <v>8</v>
      </c>
    </row>
    <row r="326" spans="1:11" ht="28.8">
      <c r="A326" s="92">
        <f>_xlfn.XLOOKUP(B326,' Lista de Entrevistas'!B:B,' Lista de Entrevistas'!A:A,"")</f>
        <v>50</v>
      </c>
      <c r="B326" s="161" t="s">
        <v>438</v>
      </c>
      <c r="C326" s="161" t="s">
        <v>1490</v>
      </c>
      <c r="D326" s="161" t="s">
        <v>145</v>
      </c>
      <c r="E326" s="161" t="s">
        <v>1493</v>
      </c>
      <c r="F326" s="161" t="s">
        <v>1494</v>
      </c>
      <c r="G326" s="161" t="s">
        <v>877</v>
      </c>
      <c r="H326" s="161" t="s">
        <v>850</v>
      </c>
      <c r="I326" s="161" t="s">
        <v>994</v>
      </c>
      <c r="J326" s="161" t="s">
        <v>21</v>
      </c>
      <c r="K326" s="164" t="s">
        <v>8</v>
      </c>
    </row>
    <row r="327" spans="1:11" ht="28.8">
      <c r="A327" s="92">
        <f>_xlfn.XLOOKUP(B327,' Lista de Entrevistas'!B:B,' Lista de Entrevistas'!A:A,"")</f>
        <v>50</v>
      </c>
      <c r="B327" s="161" t="s">
        <v>438</v>
      </c>
      <c r="C327" s="161" t="s">
        <v>1490</v>
      </c>
      <c r="D327" s="161" t="s">
        <v>145</v>
      </c>
      <c r="E327" s="161" t="s">
        <v>1495</v>
      </c>
      <c r="F327" s="161" t="s">
        <v>1496</v>
      </c>
      <c r="G327" s="161" t="s">
        <v>872</v>
      </c>
      <c r="H327" s="161" t="s">
        <v>890</v>
      </c>
      <c r="I327" s="161" t="s">
        <v>984</v>
      </c>
      <c r="J327" s="161" t="s">
        <v>21</v>
      </c>
      <c r="K327" s="164" t="s">
        <v>8</v>
      </c>
    </row>
    <row r="328" spans="1:11" ht="28.8">
      <c r="A328" s="92">
        <f>_xlfn.XLOOKUP(B328,' Lista de Entrevistas'!B:B,' Lista de Entrevistas'!A:A,"")</f>
        <v>50</v>
      </c>
      <c r="B328" s="161" t="s">
        <v>438</v>
      </c>
      <c r="C328" s="161" t="s">
        <v>1490</v>
      </c>
      <c r="D328" s="161" t="s">
        <v>145</v>
      </c>
      <c r="E328" s="161" t="s">
        <v>1497</v>
      </c>
      <c r="F328" s="161" t="s">
        <v>1498</v>
      </c>
      <c r="G328" s="161" t="s">
        <v>878</v>
      </c>
      <c r="H328" s="161" t="s">
        <v>850</v>
      </c>
      <c r="I328" s="161" t="s">
        <v>986</v>
      </c>
      <c r="J328" s="161" t="s">
        <v>21</v>
      </c>
      <c r="K328" s="164" t="s">
        <v>8</v>
      </c>
    </row>
    <row r="329" spans="1:11" ht="28.8">
      <c r="A329" s="92">
        <f>_xlfn.XLOOKUP(B329,' Lista de Entrevistas'!B:B,' Lista de Entrevistas'!A:A,"")</f>
        <v>50</v>
      </c>
      <c r="B329" s="5" t="s">
        <v>438</v>
      </c>
      <c r="C329" s="5" t="s">
        <v>1490</v>
      </c>
      <c r="D329" s="5" t="s">
        <v>145</v>
      </c>
      <c r="E329" s="5" t="s">
        <v>1499</v>
      </c>
      <c r="F329" s="5" t="s">
        <v>1500</v>
      </c>
      <c r="G329" s="5" t="s">
        <v>875</v>
      </c>
      <c r="H329" s="5" t="s">
        <v>890</v>
      </c>
      <c r="I329" s="5" t="s">
        <v>984</v>
      </c>
      <c r="J329" s="5" t="s">
        <v>17</v>
      </c>
      <c r="K329" s="5" t="s">
        <v>8</v>
      </c>
    </row>
    <row r="330" spans="1:11" ht="28.8">
      <c r="A330" s="92">
        <f>_xlfn.XLOOKUP(B330,' Lista de Entrevistas'!B:B,' Lista de Entrevistas'!A:A,"")</f>
        <v>50</v>
      </c>
      <c r="B330" s="5" t="s">
        <v>438</v>
      </c>
      <c r="C330" s="5" t="s">
        <v>1490</v>
      </c>
      <c r="D330" s="5" t="s">
        <v>145</v>
      </c>
      <c r="E330" s="5" t="s">
        <v>1501</v>
      </c>
      <c r="F330" s="5" t="s">
        <v>1502</v>
      </c>
      <c r="G330" s="5" t="s">
        <v>861</v>
      </c>
      <c r="H330" s="5" t="s">
        <v>854</v>
      </c>
      <c r="I330" s="5" t="s">
        <v>982</v>
      </c>
      <c r="J330" s="5" t="s">
        <v>17</v>
      </c>
      <c r="K330" s="5" t="s">
        <v>8</v>
      </c>
    </row>
    <row r="331" spans="1:11" ht="28.8">
      <c r="A331" s="92">
        <f>_xlfn.XLOOKUP(B331,' Lista de Entrevistas'!B:B,' Lista de Entrevistas'!A:A,"")</f>
        <v>50</v>
      </c>
      <c r="B331" s="5" t="s">
        <v>438</v>
      </c>
      <c r="C331" s="5" t="s">
        <v>1490</v>
      </c>
      <c r="D331" s="5" t="s">
        <v>145</v>
      </c>
      <c r="E331" s="5" t="s">
        <v>1503</v>
      </c>
      <c r="F331" s="5" t="s">
        <v>1504</v>
      </c>
      <c r="G331" s="5" t="s">
        <v>891</v>
      </c>
      <c r="H331" s="5" t="s">
        <v>890</v>
      </c>
      <c r="I331" s="5" t="s">
        <v>984</v>
      </c>
      <c r="J331" s="5" t="s">
        <v>17</v>
      </c>
      <c r="K331" s="5" t="s">
        <v>8</v>
      </c>
    </row>
    <row r="332" spans="1:11" ht="28.8">
      <c r="A332" s="92">
        <f>_xlfn.XLOOKUP(B332,' Lista de Entrevistas'!B:B,' Lista de Entrevistas'!A:A,"")</f>
        <v>50</v>
      </c>
      <c r="B332" s="5" t="s">
        <v>438</v>
      </c>
      <c r="C332" s="5" t="s">
        <v>1490</v>
      </c>
      <c r="D332" s="5" t="s">
        <v>145</v>
      </c>
      <c r="E332" s="5" t="s">
        <v>1505</v>
      </c>
      <c r="F332" s="5" t="s">
        <v>1506</v>
      </c>
      <c r="G332" s="5" t="s">
        <v>863</v>
      </c>
      <c r="H332" s="5" t="s">
        <v>854</v>
      </c>
      <c r="I332" s="5" t="s">
        <v>982</v>
      </c>
      <c r="J332" s="5" t="s">
        <v>17</v>
      </c>
      <c r="K332" s="5" t="s">
        <v>8</v>
      </c>
    </row>
    <row r="333" spans="1:11" ht="43.2">
      <c r="A333" s="92">
        <f>_xlfn.XLOOKUP(B333,' Lista de Entrevistas'!B:B,' Lista de Entrevistas'!A:A,"")</f>
        <v>50</v>
      </c>
      <c r="B333" s="5" t="s">
        <v>438</v>
      </c>
      <c r="C333" s="5" t="s">
        <v>1490</v>
      </c>
      <c r="D333" s="5" t="s">
        <v>145</v>
      </c>
      <c r="E333" s="5" t="s">
        <v>1507</v>
      </c>
      <c r="F333" s="5" t="s">
        <v>1508</v>
      </c>
      <c r="G333" s="5" t="s">
        <v>858</v>
      </c>
      <c r="H333" s="5" t="s">
        <v>854</v>
      </c>
      <c r="I333" s="5" t="s">
        <v>988</v>
      </c>
      <c r="J333" s="5" t="s">
        <v>17</v>
      </c>
      <c r="K333" s="5" t="s">
        <v>8</v>
      </c>
    </row>
    <row r="334" spans="1:11" ht="43.2">
      <c r="A334" s="92">
        <f>_xlfn.XLOOKUP(B334,' Lista de Entrevistas'!B:B,' Lista de Entrevistas'!A:A,"")</f>
        <v>50</v>
      </c>
      <c r="B334" s="5" t="s">
        <v>438</v>
      </c>
      <c r="C334" s="5" t="s">
        <v>1490</v>
      </c>
      <c r="D334" s="5" t="s">
        <v>145</v>
      </c>
      <c r="E334" s="5" t="s">
        <v>1509</v>
      </c>
      <c r="F334" s="5" t="s">
        <v>1510</v>
      </c>
      <c r="G334" s="5" t="s">
        <v>873</v>
      </c>
      <c r="H334" s="5" t="s">
        <v>890</v>
      </c>
      <c r="I334" s="5" t="s">
        <v>984</v>
      </c>
      <c r="J334" s="5" t="s">
        <v>17</v>
      </c>
      <c r="K334" s="5" t="s">
        <v>8</v>
      </c>
    </row>
    <row r="335" spans="1:11" ht="28.8">
      <c r="A335" s="92">
        <f>_xlfn.XLOOKUP(B335,' Lista de Entrevistas'!B:B,' Lista de Entrevistas'!A:A,"")</f>
        <v>50</v>
      </c>
      <c r="B335" s="5" t="s">
        <v>438</v>
      </c>
      <c r="C335" s="5" t="s">
        <v>1490</v>
      </c>
      <c r="D335" s="5" t="s">
        <v>145</v>
      </c>
      <c r="E335" s="5" t="s">
        <v>1511</v>
      </c>
      <c r="F335" s="5" t="s">
        <v>1512</v>
      </c>
      <c r="G335" s="5" t="s">
        <v>888</v>
      </c>
      <c r="H335" s="5" t="s">
        <v>28</v>
      </c>
      <c r="I335" s="5" t="s">
        <v>994</v>
      </c>
      <c r="J335" s="5" t="s">
        <v>17</v>
      </c>
      <c r="K335" s="5" t="s">
        <v>8</v>
      </c>
    </row>
    <row r="336" spans="1:11" ht="43.2">
      <c r="A336" s="92">
        <f>_xlfn.XLOOKUP(B336,' Lista de Entrevistas'!B:B,' Lista de Entrevistas'!A:A,"")</f>
        <v>50</v>
      </c>
      <c r="B336" s="5" t="s">
        <v>438</v>
      </c>
      <c r="C336" s="5" t="s">
        <v>1490</v>
      </c>
      <c r="D336" s="5" t="s">
        <v>145</v>
      </c>
      <c r="E336" s="5" t="s">
        <v>1513</v>
      </c>
      <c r="F336" s="5" t="s">
        <v>1514</v>
      </c>
      <c r="G336" s="5" t="s">
        <v>861</v>
      </c>
      <c r="H336" s="5" t="s">
        <v>854</v>
      </c>
      <c r="I336" s="5" t="s">
        <v>986</v>
      </c>
      <c r="J336" s="5" t="s">
        <v>17</v>
      </c>
      <c r="K336" s="5" t="s">
        <v>8</v>
      </c>
    </row>
    <row r="337" spans="1:11" ht="28.8">
      <c r="A337" s="92">
        <f>_xlfn.XLOOKUP(B337,' Lista de Entrevistas'!B:B,' Lista de Entrevistas'!A:A,"")</f>
        <v>50</v>
      </c>
      <c r="B337" s="5" t="s">
        <v>438</v>
      </c>
      <c r="C337" s="5" t="s">
        <v>1490</v>
      </c>
      <c r="D337" s="5" t="s">
        <v>145</v>
      </c>
      <c r="E337" s="5" t="s">
        <v>1515</v>
      </c>
      <c r="F337" s="5" t="s">
        <v>1516</v>
      </c>
      <c r="G337" s="5" t="s">
        <v>884</v>
      </c>
      <c r="H337" s="5" t="s">
        <v>28</v>
      </c>
      <c r="I337" s="5" t="s">
        <v>986</v>
      </c>
      <c r="J337" s="5" t="s">
        <v>17</v>
      </c>
      <c r="K337" s="5" t="s">
        <v>8</v>
      </c>
    </row>
    <row r="338" spans="1:11" ht="28.8">
      <c r="A338" s="92">
        <f>_xlfn.XLOOKUP(B338,' Lista de Entrevistas'!B:B,' Lista de Entrevistas'!A:A,"")</f>
        <v>50</v>
      </c>
      <c r="B338" s="5" t="s">
        <v>438</v>
      </c>
      <c r="C338" s="5" t="s">
        <v>1490</v>
      </c>
      <c r="D338" s="5" t="s">
        <v>145</v>
      </c>
      <c r="E338" s="5" t="s">
        <v>1517</v>
      </c>
      <c r="F338" s="5" t="s">
        <v>1518</v>
      </c>
      <c r="G338" s="5" t="s">
        <v>872</v>
      </c>
      <c r="H338" s="5" t="s">
        <v>890</v>
      </c>
      <c r="I338" s="5" t="s">
        <v>986</v>
      </c>
      <c r="J338" s="5" t="s">
        <v>21</v>
      </c>
      <c r="K338" s="5" t="s">
        <v>13</v>
      </c>
    </row>
    <row r="339" spans="1:11">
      <c r="A339" s="92">
        <f>_xlfn.XLOOKUP(B339,' Lista de Entrevistas'!B:B,' Lista de Entrevistas'!A:A,"")</f>
        <v>51</v>
      </c>
      <c r="B339" s="163" t="s">
        <v>774</v>
      </c>
      <c r="C339" s="163" t="s">
        <v>76</v>
      </c>
      <c r="D339" s="163" t="s">
        <v>199</v>
      </c>
      <c r="E339" s="163" t="s">
        <v>1322</v>
      </c>
      <c r="F339" s="163" t="s">
        <v>1323</v>
      </c>
      <c r="G339" s="163" t="s">
        <v>858</v>
      </c>
      <c r="H339" s="163" t="s">
        <v>854</v>
      </c>
      <c r="I339" s="163" t="s">
        <v>986</v>
      </c>
      <c r="J339" s="163" t="s">
        <v>17</v>
      </c>
      <c r="K339" s="163" t="s">
        <v>13</v>
      </c>
    </row>
    <row r="340" spans="1:11" ht="28.8">
      <c r="A340" s="92">
        <f>_xlfn.XLOOKUP(B340,' Lista de Entrevistas'!B:B,' Lista de Entrevistas'!A:A,"")</f>
        <v>51</v>
      </c>
      <c r="B340" s="162" t="s">
        <v>774</v>
      </c>
      <c r="C340" s="162" t="s">
        <v>76</v>
      </c>
      <c r="D340" s="162" t="s">
        <v>199</v>
      </c>
      <c r="E340" s="162" t="s">
        <v>1324</v>
      </c>
      <c r="F340" s="162" t="s">
        <v>1325</v>
      </c>
      <c r="G340" s="162" t="s">
        <v>880</v>
      </c>
      <c r="H340" s="162" t="s">
        <v>850</v>
      </c>
      <c r="I340" s="162" t="s">
        <v>982</v>
      </c>
      <c r="J340" s="162" t="s">
        <v>17</v>
      </c>
      <c r="K340" s="162" t="s">
        <v>13</v>
      </c>
    </row>
    <row r="341" spans="1:11" ht="28.8">
      <c r="A341" s="92">
        <f>_xlfn.XLOOKUP(B341,' Lista de Entrevistas'!B:B,' Lista de Entrevistas'!A:A,"")</f>
        <v>51</v>
      </c>
      <c r="B341" s="163" t="s">
        <v>774</v>
      </c>
      <c r="C341" s="163" t="s">
        <v>76</v>
      </c>
      <c r="D341" s="163" t="s">
        <v>199</v>
      </c>
      <c r="E341" s="163" t="s">
        <v>1326</v>
      </c>
      <c r="F341" s="163" t="s">
        <v>1327</v>
      </c>
      <c r="G341" s="163" t="s">
        <v>876</v>
      </c>
      <c r="H341" s="162" t="s">
        <v>890</v>
      </c>
      <c r="I341" s="163" t="s">
        <v>986</v>
      </c>
      <c r="J341" s="163" t="s">
        <v>17</v>
      </c>
      <c r="K341" s="163" t="s">
        <v>13</v>
      </c>
    </row>
    <row r="342" spans="1:11" ht="28.8">
      <c r="A342" s="92">
        <f>_xlfn.XLOOKUP(B342,' Lista de Entrevistas'!B:B,' Lista de Entrevistas'!A:A,"")</f>
        <v>51</v>
      </c>
      <c r="B342" s="162" t="s">
        <v>774</v>
      </c>
      <c r="C342" s="162" t="s">
        <v>76</v>
      </c>
      <c r="D342" s="162" t="s">
        <v>199</v>
      </c>
      <c r="E342" s="162" t="s">
        <v>1328</v>
      </c>
      <c r="F342" s="162" t="s">
        <v>1329</v>
      </c>
      <c r="G342" s="162" t="s">
        <v>876</v>
      </c>
      <c r="H342" s="162" t="s">
        <v>890</v>
      </c>
      <c r="I342" s="162" t="s">
        <v>986</v>
      </c>
      <c r="J342" s="162" t="s">
        <v>17</v>
      </c>
      <c r="K342" s="162" t="s">
        <v>13</v>
      </c>
    </row>
    <row r="343" spans="1:11" ht="28.8">
      <c r="A343" s="92">
        <f>_xlfn.XLOOKUP(B343,' Lista de Entrevistas'!B:B,' Lista de Entrevistas'!A:A,"")</f>
        <v>51</v>
      </c>
      <c r="B343" s="163" t="s">
        <v>774</v>
      </c>
      <c r="C343" s="163" t="s">
        <v>76</v>
      </c>
      <c r="D343" s="163" t="s">
        <v>199</v>
      </c>
      <c r="E343" s="163" t="s">
        <v>1330</v>
      </c>
      <c r="F343" s="163" t="s">
        <v>1331</v>
      </c>
      <c r="G343" s="163" t="s">
        <v>877</v>
      </c>
      <c r="H343" s="163" t="s">
        <v>850</v>
      </c>
      <c r="I343" s="163" t="s">
        <v>990</v>
      </c>
      <c r="J343" s="163" t="s">
        <v>21</v>
      </c>
      <c r="K343" s="163" t="s">
        <v>13</v>
      </c>
    </row>
    <row r="344" spans="1:11">
      <c r="A344" s="92">
        <f>_xlfn.XLOOKUP(B344,' Lista de Entrevistas'!B:B,' Lista de Entrevistas'!A:A,"")</f>
        <v>51</v>
      </c>
      <c r="B344" s="162" t="s">
        <v>774</v>
      </c>
      <c r="C344" s="162" t="s">
        <v>76</v>
      </c>
      <c r="D344" s="162" t="s">
        <v>199</v>
      </c>
      <c r="E344" s="162" t="s">
        <v>1332</v>
      </c>
      <c r="F344" s="162" t="s">
        <v>1333</v>
      </c>
      <c r="G344" s="162" t="s">
        <v>1334</v>
      </c>
      <c r="H344" s="162" t="s">
        <v>854</v>
      </c>
      <c r="I344" s="162" t="s">
        <v>988</v>
      </c>
      <c r="J344" s="162" t="s">
        <v>21</v>
      </c>
      <c r="K344" s="162" t="s">
        <v>8</v>
      </c>
    </row>
    <row r="345" spans="1:11" ht="28.8">
      <c r="A345" s="92">
        <f>_xlfn.XLOOKUP(B345,' Lista de Entrevistas'!B:B,' Lista de Entrevistas'!A:A,"")</f>
        <v>51</v>
      </c>
      <c r="B345" s="163" t="s">
        <v>774</v>
      </c>
      <c r="C345" s="163" t="s">
        <v>76</v>
      </c>
      <c r="D345" s="163" t="s">
        <v>199</v>
      </c>
      <c r="E345" s="163" t="s">
        <v>1335</v>
      </c>
      <c r="F345" s="163" t="s">
        <v>1336</v>
      </c>
      <c r="G345" s="163" t="s">
        <v>881</v>
      </c>
      <c r="H345" s="163" t="s">
        <v>853</v>
      </c>
      <c r="I345" s="163" t="s">
        <v>992</v>
      </c>
      <c r="J345" s="163" t="s">
        <v>21</v>
      </c>
      <c r="K345" s="163" t="s">
        <v>8</v>
      </c>
    </row>
    <row r="346" spans="1:11">
      <c r="A346" s="92">
        <f>_xlfn.XLOOKUP(B346,' Lista de Entrevistas'!B:B,' Lista de Entrevistas'!A:A,"")</f>
        <v>51</v>
      </c>
      <c r="B346" s="162" t="s">
        <v>774</v>
      </c>
      <c r="C346" s="162" t="s">
        <v>76</v>
      </c>
      <c r="D346" s="162" t="s">
        <v>199</v>
      </c>
      <c r="E346" s="162" t="s">
        <v>1337</v>
      </c>
      <c r="F346" s="162" t="s">
        <v>1338</v>
      </c>
      <c r="G346" s="162" t="s">
        <v>879</v>
      </c>
      <c r="H346" s="162" t="s">
        <v>850</v>
      </c>
      <c r="I346" s="162" t="s">
        <v>984</v>
      </c>
      <c r="J346" s="162" t="s">
        <v>17</v>
      </c>
      <c r="K346" s="162" t="s">
        <v>13</v>
      </c>
    </row>
    <row r="347" spans="1:11" ht="28.8">
      <c r="A347" s="92">
        <f>_xlfn.XLOOKUP(B347,' Lista de Entrevistas'!B:B,' Lista de Entrevistas'!A:A,"")</f>
        <v>52</v>
      </c>
      <c r="B347" s="5" t="s">
        <v>442</v>
      </c>
      <c r="C347" s="5" t="s">
        <v>1461</v>
      </c>
      <c r="D347" s="5" t="s">
        <v>145</v>
      </c>
      <c r="E347" s="5" t="s">
        <v>1462</v>
      </c>
      <c r="F347" s="5" t="s">
        <v>1463</v>
      </c>
      <c r="G347" s="5" t="s">
        <v>861</v>
      </c>
      <c r="H347" s="5" t="s">
        <v>854</v>
      </c>
      <c r="I347" s="5" t="s">
        <v>984</v>
      </c>
      <c r="J347" s="5" t="s">
        <v>17</v>
      </c>
      <c r="K347" s="5" t="s">
        <v>8</v>
      </c>
    </row>
    <row r="348" spans="1:11" ht="43.2">
      <c r="A348" s="92">
        <f>_xlfn.XLOOKUP(B348,' Lista de Entrevistas'!B:B,' Lista de Entrevistas'!A:A,"")</f>
        <v>52</v>
      </c>
      <c r="B348" s="5" t="s">
        <v>442</v>
      </c>
      <c r="C348" s="5" t="s">
        <v>1461</v>
      </c>
      <c r="D348" s="5" t="s">
        <v>145</v>
      </c>
      <c r="E348" s="5" t="s">
        <v>1464</v>
      </c>
      <c r="F348" s="5" t="s">
        <v>1465</v>
      </c>
      <c r="G348" s="5" t="s">
        <v>863</v>
      </c>
      <c r="H348" s="5" t="s">
        <v>854</v>
      </c>
      <c r="I348" s="5" t="s">
        <v>994</v>
      </c>
      <c r="J348" s="5" t="s">
        <v>17</v>
      </c>
      <c r="K348" s="5" t="s">
        <v>8</v>
      </c>
    </row>
    <row r="349" spans="1:11" ht="57.6">
      <c r="A349" s="92">
        <f>_xlfn.XLOOKUP(B349,' Lista de Entrevistas'!B:B,' Lista de Entrevistas'!A:A,"")</f>
        <v>52</v>
      </c>
      <c r="B349" s="5" t="s">
        <v>442</v>
      </c>
      <c r="C349" s="5" t="s">
        <v>1461</v>
      </c>
      <c r="D349" s="5" t="s">
        <v>145</v>
      </c>
      <c r="E349" s="5" t="s">
        <v>1466</v>
      </c>
      <c r="F349" s="5" t="s">
        <v>1467</v>
      </c>
      <c r="G349" s="5" t="s">
        <v>893</v>
      </c>
      <c r="H349" s="5" t="s">
        <v>890</v>
      </c>
      <c r="I349" s="5" t="s">
        <v>986</v>
      </c>
      <c r="J349" s="5" t="s">
        <v>17</v>
      </c>
      <c r="K349" s="5" t="s">
        <v>8</v>
      </c>
    </row>
    <row r="350" spans="1:11" ht="57.6">
      <c r="A350" s="92">
        <f>_xlfn.XLOOKUP(B350,' Lista de Entrevistas'!B:B,' Lista de Entrevistas'!A:A,"")</f>
        <v>52</v>
      </c>
      <c r="B350" s="5" t="s">
        <v>442</v>
      </c>
      <c r="C350" s="5" t="s">
        <v>1461</v>
      </c>
      <c r="D350" s="5" t="s">
        <v>145</v>
      </c>
      <c r="E350" s="5" t="s">
        <v>1466</v>
      </c>
      <c r="F350" s="5" t="s">
        <v>1467</v>
      </c>
      <c r="G350" s="5" t="s">
        <v>893</v>
      </c>
      <c r="H350" s="5" t="s">
        <v>890</v>
      </c>
      <c r="I350" s="5" t="s">
        <v>994</v>
      </c>
      <c r="J350" s="5" t="s">
        <v>17</v>
      </c>
      <c r="K350" s="5" t="s">
        <v>8</v>
      </c>
    </row>
    <row r="351" spans="1:11" ht="28.8">
      <c r="A351" s="92">
        <f>_xlfn.XLOOKUP(B351,' Lista de Entrevistas'!B:B,' Lista de Entrevistas'!A:A,"")</f>
        <v>52</v>
      </c>
      <c r="B351" s="5" t="s">
        <v>442</v>
      </c>
      <c r="C351" s="5" t="s">
        <v>1461</v>
      </c>
      <c r="D351" s="5" t="s">
        <v>145</v>
      </c>
      <c r="E351" s="5" t="s">
        <v>1468</v>
      </c>
      <c r="F351" s="5" t="s">
        <v>1469</v>
      </c>
      <c r="G351" s="5" t="s">
        <v>873</v>
      </c>
      <c r="H351" s="5" t="s">
        <v>890</v>
      </c>
      <c r="I351" s="5" t="s">
        <v>984</v>
      </c>
      <c r="J351" s="5" t="s">
        <v>17</v>
      </c>
      <c r="K351" s="5" t="s">
        <v>8</v>
      </c>
    </row>
    <row r="352" spans="1:11" ht="28.8">
      <c r="A352" s="92">
        <f>_xlfn.XLOOKUP(B352,' Lista de Entrevistas'!B:B,' Lista de Entrevistas'!A:A,"")</f>
        <v>52</v>
      </c>
      <c r="B352" s="5" t="s">
        <v>442</v>
      </c>
      <c r="C352" s="5" t="s">
        <v>1461</v>
      </c>
      <c r="D352" s="5" t="s">
        <v>145</v>
      </c>
      <c r="E352" s="5" t="s">
        <v>1470</v>
      </c>
      <c r="F352" s="5" t="s">
        <v>1471</v>
      </c>
      <c r="G352" s="5" t="s">
        <v>863</v>
      </c>
      <c r="H352" s="5" t="s">
        <v>854</v>
      </c>
      <c r="I352" s="5" t="s">
        <v>982</v>
      </c>
      <c r="J352" s="5" t="s">
        <v>17</v>
      </c>
      <c r="K352" s="5" t="s">
        <v>8</v>
      </c>
    </row>
    <row r="353" spans="1:11" ht="28.8">
      <c r="A353" s="92">
        <f>_xlfn.XLOOKUP(B353,' Lista de Entrevistas'!B:B,' Lista de Entrevistas'!A:A,"")</f>
        <v>52</v>
      </c>
      <c r="B353" s="5" t="s">
        <v>442</v>
      </c>
      <c r="C353" s="5" t="s">
        <v>1461</v>
      </c>
      <c r="D353" s="5" t="s">
        <v>145</v>
      </c>
      <c r="E353" s="5" t="s">
        <v>1472</v>
      </c>
      <c r="F353" s="5" t="s">
        <v>1473</v>
      </c>
      <c r="G353" s="5" t="s">
        <v>896</v>
      </c>
      <c r="H353" s="5" t="s">
        <v>28</v>
      </c>
      <c r="I353" s="5" t="s">
        <v>994</v>
      </c>
      <c r="J353" s="5" t="s">
        <v>17</v>
      </c>
      <c r="K353" s="5" t="s">
        <v>8</v>
      </c>
    </row>
    <row r="354" spans="1:11" ht="28.8">
      <c r="A354" s="92">
        <f>_xlfn.XLOOKUP(B354,' Lista de Entrevistas'!B:B,' Lista de Entrevistas'!A:A,"")</f>
        <v>52</v>
      </c>
      <c r="B354" s="5" t="s">
        <v>442</v>
      </c>
      <c r="C354" s="5" t="s">
        <v>1461</v>
      </c>
      <c r="D354" s="5" t="s">
        <v>145</v>
      </c>
      <c r="E354" s="5" t="s">
        <v>1474</v>
      </c>
      <c r="F354" s="5" t="s">
        <v>1475</v>
      </c>
      <c r="G354" s="5" t="s">
        <v>873</v>
      </c>
      <c r="H354" s="5" t="s">
        <v>890</v>
      </c>
      <c r="I354" s="5" t="s">
        <v>986</v>
      </c>
      <c r="J354" s="5" t="s">
        <v>17</v>
      </c>
      <c r="K354" s="5" t="s">
        <v>8</v>
      </c>
    </row>
    <row r="355" spans="1:11" ht="28.8">
      <c r="A355" s="92">
        <f>_xlfn.XLOOKUP(B355,' Lista de Entrevistas'!B:B,' Lista de Entrevistas'!A:A,"")</f>
        <v>52</v>
      </c>
      <c r="B355" s="5" t="s">
        <v>442</v>
      </c>
      <c r="C355" s="5" t="s">
        <v>1461</v>
      </c>
      <c r="D355" s="5" t="s">
        <v>145</v>
      </c>
      <c r="E355" s="5" t="s">
        <v>1476</v>
      </c>
      <c r="F355" s="5" t="s">
        <v>1477</v>
      </c>
      <c r="G355" s="5" t="s">
        <v>884</v>
      </c>
      <c r="H355" s="5" t="s">
        <v>28</v>
      </c>
      <c r="I355" s="5" t="s">
        <v>994</v>
      </c>
      <c r="J355" s="5" t="s">
        <v>17</v>
      </c>
      <c r="K355" s="5" t="s">
        <v>13</v>
      </c>
    </row>
    <row r="356" spans="1:11" ht="28.8">
      <c r="A356" s="92">
        <f>_xlfn.XLOOKUP(B356,' Lista de Entrevistas'!B:B,' Lista de Entrevistas'!A:A,"")</f>
        <v>52</v>
      </c>
      <c r="B356" s="5" t="s">
        <v>442</v>
      </c>
      <c r="C356" s="5" t="s">
        <v>1461</v>
      </c>
      <c r="D356" s="5" t="s">
        <v>145</v>
      </c>
      <c r="E356" s="5" t="s">
        <v>1478</v>
      </c>
      <c r="F356" s="5" t="s">
        <v>1479</v>
      </c>
      <c r="G356" s="5" t="s">
        <v>884</v>
      </c>
      <c r="H356" s="5" t="s">
        <v>28</v>
      </c>
      <c r="I356" s="5" t="s">
        <v>994</v>
      </c>
      <c r="J356" s="5" t="s">
        <v>17</v>
      </c>
      <c r="K356" s="5" t="s">
        <v>8</v>
      </c>
    </row>
    <row r="357" spans="1:11" ht="28.8">
      <c r="A357" s="92">
        <f>_xlfn.XLOOKUP(B357,' Lista de Entrevistas'!B:B,' Lista de Entrevistas'!A:A,"")</f>
        <v>52</v>
      </c>
      <c r="B357" s="5" t="s">
        <v>442</v>
      </c>
      <c r="C357" s="5" t="s">
        <v>1461</v>
      </c>
      <c r="D357" s="5" t="s">
        <v>145</v>
      </c>
      <c r="E357" s="5" t="s">
        <v>1480</v>
      </c>
      <c r="F357" s="5" t="s">
        <v>1481</v>
      </c>
      <c r="G357" s="5" t="s">
        <v>862</v>
      </c>
      <c r="H357" s="5" t="s">
        <v>854</v>
      </c>
      <c r="I357" s="5" t="s">
        <v>980</v>
      </c>
      <c r="J357" s="5" t="s">
        <v>12</v>
      </c>
      <c r="K357" s="5" t="s">
        <v>8</v>
      </c>
    </row>
    <row r="358" spans="1:11" ht="43.2">
      <c r="A358" s="92">
        <f>_xlfn.XLOOKUP(B358,' Lista de Entrevistas'!B:B,' Lista de Entrevistas'!A:A,"")</f>
        <v>52</v>
      </c>
      <c r="B358" s="5" t="s">
        <v>442</v>
      </c>
      <c r="C358" s="5" t="s">
        <v>1461</v>
      </c>
      <c r="D358" s="5" t="s">
        <v>145</v>
      </c>
      <c r="E358" s="5" t="s">
        <v>1482</v>
      </c>
      <c r="F358" s="5" t="s">
        <v>1483</v>
      </c>
      <c r="G358" s="5" t="s">
        <v>863</v>
      </c>
      <c r="H358" s="5" t="s">
        <v>854</v>
      </c>
      <c r="I358" s="5" t="s">
        <v>984</v>
      </c>
      <c r="J358" s="5" t="s">
        <v>17</v>
      </c>
      <c r="K358" s="5" t="s">
        <v>8</v>
      </c>
    </row>
    <row r="359" spans="1:11" ht="28.8">
      <c r="A359" s="92">
        <f>_xlfn.XLOOKUP(B359,' Lista de Entrevistas'!B:B,' Lista de Entrevistas'!A:A,"")</f>
        <v>52</v>
      </c>
      <c r="B359" s="5" t="s">
        <v>442</v>
      </c>
      <c r="C359" s="5" t="s">
        <v>1461</v>
      </c>
      <c r="D359" s="5" t="s">
        <v>145</v>
      </c>
      <c r="E359" s="5" t="s">
        <v>1484</v>
      </c>
      <c r="F359" s="5" t="s">
        <v>1485</v>
      </c>
      <c r="G359" s="5" t="s">
        <v>888</v>
      </c>
      <c r="H359" s="5" t="s">
        <v>28</v>
      </c>
      <c r="I359" s="5" t="s">
        <v>994</v>
      </c>
      <c r="J359" s="5" t="s">
        <v>17</v>
      </c>
      <c r="K359" s="5" t="s">
        <v>8</v>
      </c>
    </row>
    <row r="360" spans="1:11" ht="28.8">
      <c r="A360" s="92">
        <f>_xlfn.XLOOKUP(B360,' Lista de Entrevistas'!B:B,' Lista de Entrevistas'!A:A,"")</f>
        <v>52</v>
      </c>
      <c r="B360" s="5" t="s">
        <v>442</v>
      </c>
      <c r="C360" s="5" t="s">
        <v>1461</v>
      </c>
      <c r="D360" s="5" t="s">
        <v>145</v>
      </c>
      <c r="E360" s="5" t="s">
        <v>1486</v>
      </c>
      <c r="F360" s="5" t="s">
        <v>1487</v>
      </c>
      <c r="G360" s="5" t="s">
        <v>893</v>
      </c>
      <c r="H360" s="5" t="s">
        <v>890</v>
      </c>
      <c r="I360" s="5" t="s">
        <v>986</v>
      </c>
      <c r="J360" s="5" t="s">
        <v>17</v>
      </c>
      <c r="K360" s="5" t="s">
        <v>8</v>
      </c>
    </row>
    <row r="361" spans="1:11" ht="28.8">
      <c r="A361" s="92">
        <f>_xlfn.XLOOKUP(B361,' Lista de Entrevistas'!B:B,' Lista de Entrevistas'!A:A,"")</f>
        <v>52</v>
      </c>
      <c r="B361" s="5" t="s">
        <v>442</v>
      </c>
      <c r="C361" s="5" t="s">
        <v>1461</v>
      </c>
      <c r="D361" s="5" t="s">
        <v>145</v>
      </c>
      <c r="E361" s="5" t="s">
        <v>1488</v>
      </c>
      <c r="F361" s="5" t="s">
        <v>1489</v>
      </c>
      <c r="G361" s="5" t="s">
        <v>893</v>
      </c>
      <c r="H361" s="5" t="s">
        <v>890</v>
      </c>
      <c r="I361" s="5" t="s">
        <v>984</v>
      </c>
      <c r="J361" s="5" t="s">
        <v>21</v>
      </c>
      <c r="K361" s="5" t="s">
        <v>8</v>
      </c>
    </row>
    <row r="362" spans="1:11" ht="28.8">
      <c r="A362" s="92">
        <f>_xlfn.XLOOKUP(B362,' Lista de Entrevistas'!B:B,' Lista de Entrevistas'!A:A,"")</f>
        <v>53</v>
      </c>
      <c r="B362" s="163" t="s">
        <v>675</v>
      </c>
      <c r="C362" s="163" t="s">
        <v>117</v>
      </c>
      <c r="D362" s="163" t="s">
        <v>121</v>
      </c>
      <c r="E362" s="163" t="s">
        <v>1339</v>
      </c>
      <c r="F362" s="163" t="s">
        <v>1340</v>
      </c>
      <c r="G362" s="163" t="s">
        <v>874</v>
      </c>
      <c r="H362" s="162" t="s">
        <v>890</v>
      </c>
      <c r="I362" s="163" t="s">
        <v>982</v>
      </c>
      <c r="J362" s="163" t="s">
        <v>17</v>
      </c>
      <c r="K362" s="163" t="s">
        <v>13</v>
      </c>
    </row>
    <row r="363" spans="1:11" ht="43.2">
      <c r="A363" s="92">
        <f>_xlfn.XLOOKUP(B363,' Lista de Entrevistas'!B:B,' Lista de Entrevistas'!A:A,"")</f>
        <v>53</v>
      </c>
      <c r="B363" s="163" t="s">
        <v>675</v>
      </c>
      <c r="C363" s="162" t="s">
        <v>117</v>
      </c>
      <c r="D363" s="162" t="s">
        <v>121</v>
      </c>
      <c r="E363" s="162" t="s">
        <v>1341</v>
      </c>
      <c r="F363" s="162" t="s">
        <v>1342</v>
      </c>
      <c r="G363" s="162" t="s">
        <v>881</v>
      </c>
      <c r="H363" s="162" t="s">
        <v>853</v>
      </c>
      <c r="I363" s="162" t="s">
        <v>988</v>
      </c>
      <c r="J363" s="162" t="s">
        <v>12</v>
      </c>
      <c r="K363" s="162" t="s">
        <v>8</v>
      </c>
    </row>
    <row r="364" spans="1:11" ht="28.8">
      <c r="A364" s="92">
        <f>_xlfn.XLOOKUP(B364,' Lista de Entrevistas'!B:B,' Lista de Entrevistas'!A:A,"")</f>
        <v>53</v>
      </c>
      <c r="B364" s="163" t="s">
        <v>675</v>
      </c>
      <c r="C364" s="163" t="s">
        <v>117</v>
      </c>
      <c r="D364" s="163" t="s">
        <v>121</v>
      </c>
      <c r="E364" s="163" t="s">
        <v>1343</v>
      </c>
      <c r="F364" s="163" t="s">
        <v>1344</v>
      </c>
      <c r="G364" s="163" t="s">
        <v>824</v>
      </c>
      <c r="H364" s="163" t="s">
        <v>853</v>
      </c>
      <c r="I364" s="163" t="s">
        <v>992</v>
      </c>
      <c r="J364" s="163" t="s">
        <v>12</v>
      </c>
      <c r="K364" s="163" t="s">
        <v>8</v>
      </c>
    </row>
    <row r="365" spans="1:11" ht="28.8">
      <c r="A365" s="92">
        <f>_xlfn.XLOOKUP(B365,' Lista de Entrevistas'!B:B,' Lista de Entrevistas'!A:A,"")</f>
        <v>53</v>
      </c>
      <c r="B365" s="163" t="s">
        <v>675</v>
      </c>
      <c r="C365" s="162" t="s">
        <v>117</v>
      </c>
      <c r="D365" s="162" t="s">
        <v>121</v>
      </c>
      <c r="E365" s="162" t="s">
        <v>1345</v>
      </c>
      <c r="F365" s="162" t="s">
        <v>1346</v>
      </c>
      <c r="G365" s="162" t="s">
        <v>882</v>
      </c>
      <c r="H365" s="162" t="s">
        <v>853</v>
      </c>
      <c r="I365" s="162" t="s">
        <v>980</v>
      </c>
      <c r="J365" s="162" t="s">
        <v>12</v>
      </c>
      <c r="K365" s="162" t="s">
        <v>13</v>
      </c>
    </row>
    <row r="366" spans="1:11" ht="28.8">
      <c r="A366" s="92">
        <f>_xlfn.XLOOKUP(B366,' Lista de Entrevistas'!B:B,' Lista de Entrevistas'!A:A,"")</f>
        <v>53</v>
      </c>
      <c r="B366" s="163" t="s">
        <v>675</v>
      </c>
      <c r="C366" s="163" t="s">
        <v>117</v>
      </c>
      <c r="D366" s="163" t="s">
        <v>121</v>
      </c>
      <c r="E366" s="163" t="s">
        <v>1347</v>
      </c>
      <c r="F366" s="163" t="s">
        <v>1348</v>
      </c>
      <c r="G366" s="163" t="s">
        <v>892</v>
      </c>
      <c r="H366" s="163" t="s">
        <v>853</v>
      </c>
      <c r="I366" s="163" t="s">
        <v>980</v>
      </c>
      <c r="J366" s="163" t="s">
        <v>12</v>
      </c>
      <c r="K366" s="163" t="s">
        <v>8</v>
      </c>
    </row>
    <row r="367" spans="1:11">
      <c r="A367" s="92">
        <f>_xlfn.XLOOKUP(B367,' Lista de Entrevistas'!B:B,' Lista de Entrevistas'!A:A,"")</f>
        <v>54</v>
      </c>
      <c r="B367" t="s">
        <v>751</v>
      </c>
    </row>
    <row r="368" spans="1:11" ht="28.8">
      <c r="A368" s="92">
        <f>_xlfn.XLOOKUP(B368,' Lista de Entrevistas'!B:B,' Lista de Entrevistas'!A:A,"")</f>
        <v>54</v>
      </c>
      <c r="B368" s="5" t="s">
        <v>751</v>
      </c>
      <c r="C368" s="5" t="s">
        <v>117</v>
      </c>
      <c r="D368" s="5" t="s">
        <v>199</v>
      </c>
      <c r="E368" s="5" t="s">
        <v>1580</v>
      </c>
      <c r="F368" s="5" t="s">
        <v>1581</v>
      </c>
      <c r="G368" s="5" t="s">
        <v>873</v>
      </c>
      <c r="H368" s="5" t="s">
        <v>890</v>
      </c>
      <c r="I368" s="5" t="s">
        <v>986</v>
      </c>
      <c r="J368" s="5" t="s">
        <v>17</v>
      </c>
      <c r="K368" s="5" t="s">
        <v>8</v>
      </c>
    </row>
    <row r="369" spans="1:11" ht="28.8">
      <c r="A369" s="92">
        <f>_xlfn.XLOOKUP(B369,' Lista de Entrevistas'!B:B,' Lista de Entrevistas'!A:A,"")</f>
        <v>54</v>
      </c>
      <c r="B369" s="5" t="s">
        <v>751</v>
      </c>
      <c r="C369" s="5" t="s">
        <v>117</v>
      </c>
      <c r="D369" s="5" t="s">
        <v>199</v>
      </c>
      <c r="E369" s="5" t="s">
        <v>1582</v>
      </c>
      <c r="F369" s="5" t="s">
        <v>1583</v>
      </c>
      <c r="G369" s="5" t="s">
        <v>876</v>
      </c>
      <c r="H369" s="5" t="s">
        <v>890</v>
      </c>
      <c r="I369" s="5" t="s">
        <v>982</v>
      </c>
      <c r="J369" s="5" t="s">
        <v>17</v>
      </c>
      <c r="K369" s="5" t="s">
        <v>8</v>
      </c>
    </row>
    <row r="370" spans="1:11" ht="28.8">
      <c r="A370" s="92">
        <f>_xlfn.XLOOKUP(B370,' Lista de Entrevistas'!B:B,' Lista de Entrevistas'!A:A,"")</f>
        <v>54</v>
      </c>
      <c r="B370" s="5" t="s">
        <v>751</v>
      </c>
      <c r="C370" s="5" t="s">
        <v>117</v>
      </c>
      <c r="D370" s="5" t="s">
        <v>199</v>
      </c>
      <c r="E370" s="5" t="s">
        <v>1584</v>
      </c>
      <c r="F370" s="5" t="s">
        <v>1585</v>
      </c>
      <c r="G370" s="5" t="s">
        <v>893</v>
      </c>
      <c r="H370" s="5" t="s">
        <v>890</v>
      </c>
      <c r="I370" s="5" t="s">
        <v>986</v>
      </c>
      <c r="J370" s="5" t="s">
        <v>17</v>
      </c>
      <c r="K370" s="5" t="s">
        <v>8</v>
      </c>
    </row>
    <row r="371" spans="1:11" ht="28.8">
      <c r="A371" s="92">
        <f>_xlfn.XLOOKUP(B371,' Lista de Entrevistas'!B:B,' Lista de Entrevistas'!A:A,"")</f>
        <v>54</v>
      </c>
      <c r="B371" s="5" t="s">
        <v>751</v>
      </c>
      <c r="C371" s="5" t="s">
        <v>117</v>
      </c>
      <c r="D371" s="5" t="s">
        <v>199</v>
      </c>
      <c r="E371" s="5" t="s">
        <v>1586</v>
      </c>
      <c r="F371" s="5" t="s">
        <v>1587</v>
      </c>
      <c r="G371" s="5" t="s">
        <v>872</v>
      </c>
      <c r="H371" s="5" t="s">
        <v>890</v>
      </c>
      <c r="I371" s="5" t="s">
        <v>984</v>
      </c>
      <c r="J371" s="5" t="s">
        <v>17</v>
      </c>
      <c r="K371" s="5" t="s">
        <v>8</v>
      </c>
    </row>
    <row r="372" spans="1:11" ht="28.8">
      <c r="A372" s="92">
        <f>_xlfn.XLOOKUP(B372,' Lista de Entrevistas'!B:B,' Lista de Entrevistas'!A:A,"")</f>
        <v>54</v>
      </c>
      <c r="B372" s="5" t="s">
        <v>751</v>
      </c>
      <c r="C372" s="5" t="s">
        <v>117</v>
      </c>
      <c r="D372" s="5" t="s">
        <v>199</v>
      </c>
      <c r="E372" s="5" t="s">
        <v>1588</v>
      </c>
      <c r="F372" s="5" t="s">
        <v>1589</v>
      </c>
      <c r="G372" s="5" t="s">
        <v>878</v>
      </c>
      <c r="H372" s="5" t="s">
        <v>850</v>
      </c>
      <c r="I372" s="5" t="s">
        <v>994</v>
      </c>
      <c r="J372" s="5" t="s">
        <v>21</v>
      </c>
      <c r="K372" s="5" t="s">
        <v>8</v>
      </c>
    </row>
    <row r="373" spans="1:11" ht="28.8">
      <c r="A373" s="92">
        <f>_xlfn.XLOOKUP(B373,' Lista de Entrevistas'!B:B,' Lista de Entrevistas'!A:A,"")</f>
        <v>54</v>
      </c>
      <c r="B373" s="5" t="s">
        <v>751</v>
      </c>
      <c r="C373" s="5" t="s">
        <v>117</v>
      </c>
      <c r="D373" s="5" t="s">
        <v>199</v>
      </c>
      <c r="E373" s="5" t="s">
        <v>1590</v>
      </c>
      <c r="F373" s="5" t="s">
        <v>1591</v>
      </c>
      <c r="G373" s="5" t="s">
        <v>877</v>
      </c>
      <c r="H373" s="5" t="s">
        <v>850</v>
      </c>
      <c r="I373" s="5" t="s">
        <v>986</v>
      </c>
      <c r="J373" s="5" t="s">
        <v>21</v>
      </c>
      <c r="K373" s="5" t="s">
        <v>8</v>
      </c>
    </row>
    <row r="374" spans="1:11">
      <c r="A374" s="92">
        <f>_xlfn.XLOOKUP(B374,' Lista de Entrevistas'!B:B,' Lista de Entrevistas'!A:A,"")</f>
        <v>54</v>
      </c>
      <c r="B374" s="5" t="s">
        <v>751</v>
      </c>
      <c r="C374" s="5" t="s">
        <v>117</v>
      </c>
      <c r="D374" s="5" t="s">
        <v>199</v>
      </c>
      <c r="E374" s="5" t="s">
        <v>1592</v>
      </c>
      <c r="F374" s="5" t="s">
        <v>1593</v>
      </c>
      <c r="G374" s="5" t="s">
        <v>881</v>
      </c>
      <c r="H374" s="5" t="s">
        <v>853</v>
      </c>
      <c r="I374" s="5" t="s">
        <v>988</v>
      </c>
      <c r="J374" s="5" t="s">
        <v>12</v>
      </c>
      <c r="K374" s="5" t="s">
        <v>8</v>
      </c>
    </row>
    <row r="375" spans="1:11" ht="28.8">
      <c r="A375" s="92">
        <f>_xlfn.XLOOKUP(B375,' Lista de Entrevistas'!B:B,' Lista de Entrevistas'!A:A,"")</f>
        <v>54</v>
      </c>
      <c r="B375" s="5" t="s">
        <v>751</v>
      </c>
      <c r="C375" s="5" t="s">
        <v>117</v>
      </c>
      <c r="D375" s="5" t="s">
        <v>199</v>
      </c>
      <c r="E375" s="5" t="s">
        <v>1594</v>
      </c>
      <c r="F375" s="5" t="s">
        <v>1595</v>
      </c>
      <c r="G375" s="5" t="s">
        <v>858</v>
      </c>
      <c r="H375" s="5" t="s">
        <v>854</v>
      </c>
      <c r="I375" s="5" t="s">
        <v>994</v>
      </c>
      <c r="J375" s="5" t="s">
        <v>21</v>
      </c>
      <c r="K375" s="5" t="s">
        <v>8</v>
      </c>
    </row>
    <row r="376" spans="1:11" ht="28.8">
      <c r="A376" s="92">
        <f>_xlfn.XLOOKUP(B376,' Lista de Entrevistas'!B:B,' Lista de Entrevistas'!A:A,"")</f>
        <v>54</v>
      </c>
      <c r="B376" s="5" t="s">
        <v>751</v>
      </c>
      <c r="C376" s="5" t="s">
        <v>117</v>
      </c>
      <c r="D376" s="5" t="s">
        <v>199</v>
      </c>
      <c r="E376" s="5" t="s">
        <v>1596</v>
      </c>
      <c r="F376" s="5" t="s">
        <v>1597</v>
      </c>
      <c r="G376" s="5" t="s">
        <v>872</v>
      </c>
      <c r="H376" s="5" t="s">
        <v>890</v>
      </c>
      <c r="I376" s="5" t="s">
        <v>978</v>
      </c>
      <c r="J376" s="5" t="s">
        <v>21</v>
      </c>
      <c r="K376" s="5" t="s">
        <v>8</v>
      </c>
    </row>
    <row r="377" spans="1:11" ht="28.8">
      <c r="A377" s="92">
        <f>_xlfn.XLOOKUP(B377,' Lista de Entrevistas'!B:B,' Lista de Entrevistas'!A:A,"")</f>
        <v>54</v>
      </c>
      <c r="B377" s="5" t="s">
        <v>751</v>
      </c>
      <c r="C377" s="5" t="s">
        <v>117</v>
      </c>
      <c r="D377" s="5" t="s">
        <v>199</v>
      </c>
      <c r="E377" s="5" t="s">
        <v>1598</v>
      </c>
      <c r="F377" s="5" t="s">
        <v>1599</v>
      </c>
      <c r="G377" s="5" t="s">
        <v>891</v>
      </c>
      <c r="H377" s="5" t="s">
        <v>890</v>
      </c>
      <c r="I377" s="5" t="s">
        <v>986</v>
      </c>
      <c r="J377" s="5" t="s">
        <v>21</v>
      </c>
      <c r="K377" s="5" t="s">
        <v>8</v>
      </c>
    </row>
    <row r="378" spans="1:11" ht="28.8">
      <c r="A378" s="92">
        <f>_xlfn.XLOOKUP(B378,' Lista de Entrevistas'!B:B,' Lista de Entrevistas'!A:A,"")</f>
        <v>54</v>
      </c>
      <c r="B378" s="5" t="s">
        <v>751</v>
      </c>
      <c r="C378" s="5" t="s">
        <v>117</v>
      </c>
      <c r="D378" s="5" t="s">
        <v>199</v>
      </c>
      <c r="E378" s="5" t="s">
        <v>1600</v>
      </c>
      <c r="F378" s="5" t="s">
        <v>1601</v>
      </c>
      <c r="G378" s="5" t="s">
        <v>891</v>
      </c>
      <c r="H378" s="5" t="s">
        <v>890</v>
      </c>
      <c r="I378" s="5" t="s">
        <v>978</v>
      </c>
      <c r="J378" s="5" t="s">
        <v>17</v>
      </c>
      <c r="K378" s="5" t="s">
        <v>8</v>
      </c>
    </row>
    <row r="379" spans="1:11">
      <c r="A379" s="92">
        <f>_xlfn.XLOOKUP(B379,' Lista de Entrevistas'!B:B,' Lista de Entrevistas'!A:A,"")</f>
        <v>54</v>
      </c>
      <c r="B379" s="5" t="s">
        <v>751</v>
      </c>
      <c r="C379" s="5" t="s">
        <v>117</v>
      </c>
      <c r="D379" s="5" t="s">
        <v>199</v>
      </c>
      <c r="E379" s="5" t="s">
        <v>1602</v>
      </c>
      <c r="F379" s="5" t="s">
        <v>1603</v>
      </c>
      <c r="G379" s="5" t="s">
        <v>863</v>
      </c>
      <c r="H379" s="5" t="s">
        <v>854</v>
      </c>
      <c r="I379" s="5" t="s">
        <v>986</v>
      </c>
      <c r="J379" s="5" t="s">
        <v>17</v>
      </c>
      <c r="K379" s="5" t="s">
        <v>8</v>
      </c>
    </row>
    <row r="380" spans="1:11">
      <c r="A380" s="92">
        <f>_xlfn.XLOOKUP(B380,' Lista de Entrevistas'!B:B,' Lista de Entrevistas'!A:A,"")</f>
        <v>54</v>
      </c>
      <c r="B380" s="5" t="s">
        <v>751</v>
      </c>
      <c r="C380" s="5" t="s">
        <v>117</v>
      </c>
      <c r="D380" s="5" t="s">
        <v>199</v>
      </c>
      <c r="E380" s="5" t="s">
        <v>1604</v>
      </c>
      <c r="F380" s="5" t="s">
        <v>1605</v>
      </c>
      <c r="G380" s="5" t="s">
        <v>1606</v>
      </c>
      <c r="H380" s="5" t="s">
        <v>1607</v>
      </c>
      <c r="I380" s="5" t="s">
        <v>986</v>
      </c>
      <c r="J380" s="5" t="s">
        <v>17</v>
      </c>
      <c r="K380" s="5" t="s">
        <v>8</v>
      </c>
    </row>
    <row r="381" spans="1:11" ht="28.8">
      <c r="A381" s="92">
        <f>_xlfn.XLOOKUP(B381,' Lista de Entrevistas'!B:B,' Lista de Entrevistas'!A:A,"")</f>
        <v>54</v>
      </c>
      <c r="B381" s="5" t="s">
        <v>751</v>
      </c>
      <c r="C381" s="5" t="s">
        <v>117</v>
      </c>
      <c r="D381" s="5" t="s">
        <v>199</v>
      </c>
      <c r="E381" s="5" t="s">
        <v>1608</v>
      </c>
      <c r="F381" s="5" t="s">
        <v>1609</v>
      </c>
      <c r="G381" s="5" t="s">
        <v>876</v>
      </c>
      <c r="H381" s="5" t="s">
        <v>890</v>
      </c>
      <c r="I381" s="5" t="s">
        <v>986</v>
      </c>
      <c r="J381" s="5" t="s">
        <v>21</v>
      </c>
      <c r="K381" s="5" t="s">
        <v>8</v>
      </c>
    </row>
    <row r="382" spans="1:11">
      <c r="A382" s="92">
        <f>_xlfn.XLOOKUP(B382,' Lista de Entrevistas'!B:B,' Lista de Entrevistas'!A:A,"")</f>
        <v>54</v>
      </c>
      <c r="B382" s="5" t="s">
        <v>751</v>
      </c>
      <c r="C382" s="5" t="s">
        <v>117</v>
      </c>
      <c r="D382" s="5" t="s">
        <v>199</v>
      </c>
      <c r="E382" s="5" t="s">
        <v>1610</v>
      </c>
      <c r="F382" s="5" t="s">
        <v>1611</v>
      </c>
      <c r="G382" s="5" t="s">
        <v>1612</v>
      </c>
      <c r="H382" s="5" t="s">
        <v>405</v>
      </c>
      <c r="I382" s="5" t="s">
        <v>978</v>
      </c>
      <c r="J382" s="5" t="s">
        <v>17</v>
      </c>
      <c r="K382" s="5" t="s">
        <v>8</v>
      </c>
    </row>
    <row r="383" spans="1:11" ht="28.8">
      <c r="A383" s="92">
        <f>_xlfn.XLOOKUP(B383,' Lista de Entrevistas'!B:B,' Lista de Entrevistas'!A:A,"")</f>
        <v>55</v>
      </c>
      <c r="B383" s="162" t="s">
        <v>693</v>
      </c>
      <c r="C383" s="162" t="s">
        <v>117</v>
      </c>
      <c r="D383" s="162" t="s">
        <v>199</v>
      </c>
      <c r="E383" s="162" t="s">
        <v>1349</v>
      </c>
      <c r="F383" s="162" t="s">
        <v>1350</v>
      </c>
      <c r="G383" s="162" t="s">
        <v>893</v>
      </c>
      <c r="H383" s="162" t="s">
        <v>890</v>
      </c>
      <c r="I383" s="162" t="s">
        <v>986</v>
      </c>
      <c r="J383" s="162" t="s">
        <v>12</v>
      </c>
      <c r="K383" s="162" t="s">
        <v>8</v>
      </c>
    </row>
    <row r="384" spans="1:11" ht="28.8">
      <c r="A384" s="92">
        <f>_xlfn.XLOOKUP(B384,' Lista de Entrevistas'!B:B,' Lista de Entrevistas'!A:A,"")</f>
        <v>55</v>
      </c>
      <c r="B384" s="162" t="s">
        <v>693</v>
      </c>
      <c r="C384" s="163" t="s">
        <v>117</v>
      </c>
      <c r="D384" s="163" t="s">
        <v>199</v>
      </c>
      <c r="E384" s="163" t="s">
        <v>1351</v>
      </c>
      <c r="F384" s="163" t="s">
        <v>1352</v>
      </c>
      <c r="G384" s="163" t="s">
        <v>873</v>
      </c>
      <c r="H384" s="162" t="s">
        <v>890</v>
      </c>
      <c r="I384" s="163" t="s">
        <v>978</v>
      </c>
      <c r="J384" s="163" t="s">
        <v>12</v>
      </c>
      <c r="K384" s="163" t="s">
        <v>13</v>
      </c>
    </row>
    <row r="385" spans="1:11" ht="28.8">
      <c r="A385" s="92">
        <f>_xlfn.XLOOKUP(B385,' Lista de Entrevistas'!B:B,' Lista de Entrevistas'!A:A,"")</f>
        <v>55</v>
      </c>
      <c r="B385" s="162" t="s">
        <v>693</v>
      </c>
      <c r="C385" s="162" t="s">
        <v>117</v>
      </c>
      <c r="D385" s="162" t="s">
        <v>199</v>
      </c>
      <c r="E385" s="162" t="s">
        <v>1353</v>
      </c>
      <c r="F385" s="162" t="s">
        <v>1354</v>
      </c>
      <c r="G385" s="162" t="s">
        <v>862</v>
      </c>
      <c r="H385" s="162" t="s">
        <v>854</v>
      </c>
      <c r="I385" s="162" t="s">
        <v>980</v>
      </c>
      <c r="J385" s="162" t="s">
        <v>12</v>
      </c>
      <c r="K385" s="162" t="s">
        <v>8</v>
      </c>
    </row>
    <row r="386" spans="1:11" ht="28.8">
      <c r="A386" s="92">
        <f>_xlfn.XLOOKUP(B386,' Lista de Entrevistas'!B:B,' Lista de Entrevistas'!A:A,"")</f>
        <v>55</v>
      </c>
      <c r="B386" s="162" t="s">
        <v>693</v>
      </c>
      <c r="C386" s="163" t="s">
        <v>117</v>
      </c>
      <c r="D386" s="163" t="s">
        <v>199</v>
      </c>
      <c r="E386" s="163" t="s">
        <v>1353</v>
      </c>
      <c r="F386" s="163" t="s">
        <v>1354</v>
      </c>
      <c r="G386" s="163" t="s">
        <v>862</v>
      </c>
      <c r="H386" s="163" t="s">
        <v>854</v>
      </c>
      <c r="I386" s="163" t="s">
        <v>978</v>
      </c>
      <c r="J386" s="163" t="s">
        <v>12</v>
      </c>
      <c r="K386" s="163" t="s">
        <v>8</v>
      </c>
    </row>
    <row r="387" spans="1:11">
      <c r="A387" s="92">
        <f>_xlfn.XLOOKUP(B387,' Lista de Entrevistas'!B:B,' Lista de Entrevistas'!A:A,"")</f>
        <v>55</v>
      </c>
      <c r="B387" s="162" t="s">
        <v>693</v>
      </c>
      <c r="C387" s="162" t="s">
        <v>117</v>
      </c>
      <c r="D387" s="162" t="s">
        <v>199</v>
      </c>
      <c r="E387" s="162" t="s">
        <v>1355</v>
      </c>
      <c r="F387" s="162" t="s">
        <v>1356</v>
      </c>
      <c r="G387" s="162" t="s">
        <v>858</v>
      </c>
      <c r="H387" s="162" t="s">
        <v>854</v>
      </c>
      <c r="I387" s="162" t="s">
        <v>984</v>
      </c>
      <c r="J387" s="162" t="s">
        <v>17</v>
      </c>
      <c r="K387" s="162" t="s">
        <v>8</v>
      </c>
    </row>
    <row r="388" spans="1:11">
      <c r="A388" s="92">
        <f>_xlfn.XLOOKUP(B388,' Lista de Entrevistas'!B:B,' Lista de Entrevistas'!A:A,"")</f>
        <v>56</v>
      </c>
      <c r="B388" t="s">
        <v>428</v>
      </c>
    </row>
    <row r="389" spans="1:11" ht="28.8">
      <c r="A389" s="92">
        <f>_xlfn.XLOOKUP(B389,' Lista de Entrevistas'!B:B,' Lista de Entrevistas'!A:A,"")</f>
        <v>57</v>
      </c>
      <c r="B389" s="5" t="s">
        <v>671</v>
      </c>
      <c r="C389" s="5" t="s">
        <v>76</v>
      </c>
      <c r="D389" s="5" t="s">
        <v>121</v>
      </c>
      <c r="E389" s="5" t="s">
        <v>1361</v>
      </c>
      <c r="F389" s="5" t="s">
        <v>1362</v>
      </c>
      <c r="G389" s="5" t="s">
        <v>893</v>
      </c>
      <c r="H389" s="5" t="s">
        <v>890</v>
      </c>
      <c r="I389" s="5" t="s">
        <v>994</v>
      </c>
      <c r="J389" s="5" t="s">
        <v>17</v>
      </c>
      <c r="K389" s="5" t="s">
        <v>8</v>
      </c>
    </row>
    <row r="390" spans="1:11" ht="28.8">
      <c r="A390" s="92">
        <f>_xlfn.XLOOKUP(B390,' Lista de Entrevistas'!B:B,' Lista de Entrevistas'!A:A,"")</f>
        <v>57</v>
      </c>
      <c r="B390" s="5" t="s">
        <v>671</v>
      </c>
      <c r="C390" s="5" t="s">
        <v>76</v>
      </c>
      <c r="D390" s="5" t="s">
        <v>121</v>
      </c>
      <c r="E390" s="5" t="s">
        <v>1361</v>
      </c>
      <c r="F390" s="5" t="s">
        <v>1362</v>
      </c>
      <c r="G390" s="5" t="s">
        <v>893</v>
      </c>
      <c r="H390" s="5" t="s">
        <v>890</v>
      </c>
      <c r="I390" s="5" t="s">
        <v>980</v>
      </c>
      <c r="J390" s="5" t="s">
        <v>17</v>
      </c>
      <c r="K390" s="5" t="s">
        <v>8</v>
      </c>
    </row>
    <row r="391" spans="1:11" ht="28.8">
      <c r="A391" s="92">
        <f>_xlfn.XLOOKUP(B391,' Lista de Entrevistas'!B:B,' Lista de Entrevistas'!A:A,"")</f>
        <v>57</v>
      </c>
      <c r="B391" s="5" t="s">
        <v>671</v>
      </c>
      <c r="C391" s="5" t="s">
        <v>76</v>
      </c>
      <c r="D391" s="5" t="s">
        <v>121</v>
      </c>
      <c r="E391" s="5" t="s">
        <v>1363</v>
      </c>
      <c r="F391" s="5" t="s">
        <v>1364</v>
      </c>
      <c r="G391" s="5" t="s">
        <v>862</v>
      </c>
      <c r="H391" s="5" t="s">
        <v>854</v>
      </c>
      <c r="I391" s="5" t="s">
        <v>980</v>
      </c>
      <c r="J391" s="5" t="s">
        <v>17</v>
      </c>
      <c r="K391" s="5" t="s">
        <v>8</v>
      </c>
    </row>
    <row r="392" spans="1:11" ht="28.8">
      <c r="A392" s="92">
        <f>_xlfn.XLOOKUP(B392,' Lista de Entrevistas'!B:B,' Lista de Entrevistas'!A:A,"")</f>
        <v>57</v>
      </c>
      <c r="B392" s="5" t="s">
        <v>671</v>
      </c>
      <c r="C392" s="5" t="s">
        <v>76</v>
      </c>
      <c r="D392" s="5" t="s">
        <v>121</v>
      </c>
      <c r="E392" s="5" t="s">
        <v>1363</v>
      </c>
      <c r="F392" s="5" t="s">
        <v>1364</v>
      </c>
      <c r="G392" s="5" t="s">
        <v>862</v>
      </c>
      <c r="H392" s="5" t="s">
        <v>854</v>
      </c>
      <c r="I392" s="5" t="s">
        <v>994</v>
      </c>
      <c r="J392" s="5" t="s">
        <v>17</v>
      </c>
      <c r="K392" s="5" t="s">
        <v>8</v>
      </c>
    </row>
    <row r="393" spans="1:11" ht="28.8">
      <c r="A393" s="92">
        <f>_xlfn.XLOOKUP(B393,' Lista de Entrevistas'!B:B,' Lista de Entrevistas'!A:A,"")</f>
        <v>57</v>
      </c>
      <c r="B393" s="5" t="s">
        <v>671</v>
      </c>
      <c r="C393" s="5" t="s">
        <v>76</v>
      </c>
      <c r="D393" s="5" t="s">
        <v>121</v>
      </c>
      <c r="E393" s="5" t="s">
        <v>1365</v>
      </c>
      <c r="F393" s="5" t="s">
        <v>1366</v>
      </c>
      <c r="G393" s="5" t="s">
        <v>824</v>
      </c>
      <c r="H393" s="5" t="s">
        <v>853</v>
      </c>
      <c r="I393" s="5" t="s">
        <v>986</v>
      </c>
      <c r="J393" s="5" t="s">
        <v>12</v>
      </c>
      <c r="K393" s="5" t="s">
        <v>8</v>
      </c>
    </row>
    <row r="394" spans="1:11" ht="28.8">
      <c r="A394" s="92">
        <f>_xlfn.XLOOKUP(B394,' Lista de Entrevistas'!B:B,' Lista de Entrevistas'!A:A,"")</f>
        <v>57</v>
      </c>
      <c r="B394" s="5" t="s">
        <v>671</v>
      </c>
      <c r="C394" s="5" t="s">
        <v>76</v>
      </c>
      <c r="D394" s="5" t="s">
        <v>121</v>
      </c>
      <c r="E394" s="5" t="s">
        <v>1365</v>
      </c>
      <c r="F394" s="5" t="s">
        <v>1366</v>
      </c>
      <c r="G394" s="5" t="s">
        <v>824</v>
      </c>
      <c r="H394" s="5" t="s">
        <v>853</v>
      </c>
      <c r="I394" s="5" t="s">
        <v>980</v>
      </c>
      <c r="J394" s="5" t="s">
        <v>12</v>
      </c>
      <c r="K394" s="5" t="s">
        <v>8</v>
      </c>
    </row>
    <row r="395" spans="1:11" ht="28.8">
      <c r="A395" s="92">
        <f>_xlfn.XLOOKUP(B395,' Lista de Entrevistas'!B:B,' Lista de Entrevistas'!A:A,"")</f>
        <v>57</v>
      </c>
      <c r="B395" s="5" t="s">
        <v>671</v>
      </c>
      <c r="C395" s="5" t="s">
        <v>76</v>
      </c>
      <c r="D395" s="5" t="s">
        <v>121</v>
      </c>
      <c r="E395" s="5" t="s">
        <v>1367</v>
      </c>
      <c r="F395" s="5" t="s">
        <v>1368</v>
      </c>
      <c r="G395" s="5" t="s">
        <v>888</v>
      </c>
      <c r="H395" s="5" t="s">
        <v>28</v>
      </c>
      <c r="I395" s="5" t="s">
        <v>994</v>
      </c>
      <c r="J395" s="5" t="s">
        <v>17</v>
      </c>
      <c r="K395" s="5" t="s">
        <v>8</v>
      </c>
    </row>
    <row r="396" spans="1:11" ht="28.8">
      <c r="A396" s="92">
        <f>_xlfn.XLOOKUP(B396,' Lista de Entrevistas'!B:B,' Lista de Entrevistas'!A:A,"")</f>
        <v>57</v>
      </c>
      <c r="B396" s="5" t="s">
        <v>671</v>
      </c>
      <c r="C396" s="5" t="s">
        <v>76</v>
      </c>
      <c r="D396" s="5" t="s">
        <v>121</v>
      </c>
      <c r="E396" s="5" t="s">
        <v>1367</v>
      </c>
      <c r="F396" s="5" t="s">
        <v>1368</v>
      </c>
      <c r="G396" s="5" t="s">
        <v>888</v>
      </c>
      <c r="H396" s="5" t="s">
        <v>28</v>
      </c>
      <c r="I396" s="5" t="s">
        <v>982</v>
      </c>
      <c r="J396" s="5" t="s">
        <v>17</v>
      </c>
      <c r="K396" s="5" t="s">
        <v>8</v>
      </c>
    </row>
    <row r="397" spans="1:11" ht="28.8">
      <c r="A397" s="92">
        <f>_xlfn.XLOOKUP(B397,' Lista de Entrevistas'!B:B,' Lista de Entrevistas'!A:A,"")</f>
        <v>57</v>
      </c>
      <c r="B397" s="5" t="s">
        <v>671</v>
      </c>
      <c r="C397" s="5" t="s">
        <v>76</v>
      </c>
      <c r="D397" s="5" t="s">
        <v>121</v>
      </c>
      <c r="E397" s="5" t="s">
        <v>1369</v>
      </c>
      <c r="F397" s="5" t="s">
        <v>1370</v>
      </c>
      <c r="G397" s="5" t="s">
        <v>858</v>
      </c>
      <c r="H397" s="5" t="s">
        <v>854</v>
      </c>
      <c r="I397" s="5" t="s">
        <v>982</v>
      </c>
      <c r="J397" s="5" t="s">
        <v>21</v>
      </c>
      <c r="K397" s="5" t="s">
        <v>8</v>
      </c>
    </row>
    <row r="398" spans="1:11">
      <c r="A398" s="92">
        <f>_xlfn.XLOOKUP(B398,' Lista de Entrevistas'!B:B,' Lista de Entrevistas'!A:A,"")</f>
        <v>57</v>
      </c>
      <c r="B398" s="5" t="s">
        <v>671</v>
      </c>
      <c r="C398" s="5" t="s">
        <v>76</v>
      </c>
      <c r="D398" s="5" t="s">
        <v>121</v>
      </c>
      <c r="E398" s="5" t="s">
        <v>1369</v>
      </c>
      <c r="F398" s="5" t="s">
        <v>1370</v>
      </c>
      <c r="G398" s="5" t="s">
        <v>858</v>
      </c>
      <c r="H398" s="5" t="s">
        <v>854</v>
      </c>
      <c r="I398" s="5" t="s">
        <v>978</v>
      </c>
      <c r="J398" s="5" t="s">
        <v>21</v>
      </c>
      <c r="K398" s="5" t="s">
        <v>8</v>
      </c>
    </row>
    <row r="399" spans="1:11">
      <c r="A399" s="92">
        <f>_xlfn.XLOOKUP(B399,' Lista de Entrevistas'!B:B,' Lista de Entrevistas'!A:A,"")</f>
        <v>57</v>
      </c>
      <c r="B399" s="5" t="s">
        <v>671</v>
      </c>
      <c r="C399" s="5" t="s">
        <v>76</v>
      </c>
      <c r="D399" s="5" t="s">
        <v>121</v>
      </c>
      <c r="E399" s="5" t="s">
        <v>1371</v>
      </c>
      <c r="F399" s="5" t="s">
        <v>1372</v>
      </c>
      <c r="G399" s="5" t="s">
        <v>862</v>
      </c>
      <c r="H399" s="5" t="s">
        <v>854</v>
      </c>
      <c r="I399" s="5" t="s">
        <v>980</v>
      </c>
      <c r="J399" s="5" t="s">
        <v>17</v>
      </c>
      <c r="K399" s="5" t="s">
        <v>8</v>
      </c>
    </row>
    <row r="400" spans="1:11" ht="28.8">
      <c r="A400" s="92">
        <f>_xlfn.XLOOKUP(B400,' Lista de Entrevistas'!B:B,' Lista de Entrevistas'!A:A,"")</f>
        <v>57</v>
      </c>
      <c r="B400" s="5" t="s">
        <v>671</v>
      </c>
      <c r="C400" s="5" t="s">
        <v>76</v>
      </c>
      <c r="D400" s="5" t="s">
        <v>121</v>
      </c>
      <c r="E400" s="5" t="s">
        <v>1373</v>
      </c>
      <c r="F400" s="5" t="s">
        <v>1374</v>
      </c>
      <c r="G400" s="5" t="s">
        <v>876</v>
      </c>
      <c r="H400" s="5" t="s">
        <v>890</v>
      </c>
      <c r="I400" s="5" t="s">
        <v>986</v>
      </c>
      <c r="J400" s="5" t="s">
        <v>17</v>
      </c>
      <c r="K400" s="5" t="s">
        <v>13</v>
      </c>
    </row>
    <row r="401" spans="1:11" ht="28.8">
      <c r="A401" s="92">
        <f>_xlfn.XLOOKUP(B401,' Lista de Entrevistas'!B:B,' Lista de Entrevistas'!A:A,"")</f>
        <v>57</v>
      </c>
      <c r="B401" s="5" t="s">
        <v>671</v>
      </c>
      <c r="C401" s="5" t="s">
        <v>76</v>
      </c>
      <c r="D401" s="5" t="s">
        <v>121</v>
      </c>
      <c r="E401" s="5" t="s">
        <v>1375</v>
      </c>
      <c r="F401" s="5" t="s">
        <v>1376</v>
      </c>
      <c r="G401" s="5" t="s">
        <v>891</v>
      </c>
      <c r="H401" s="5" t="s">
        <v>890</v>
      </c>
      <c r="I401" s="5" t="s">
        <v>984</v>
      </c>
      <c r="J401" s="5" t="s">
        <v>17</v>
      </c>
      <c r="K401" s="5" t="s">
        <v>8</v>
      </c>
    </row>
    <row r="402" spans="1:11" ht="28.8">
      <c r="A402" s="92">
        <f>_xlfn.XLOOKUP(B402,' Lista de Entrevistas'!B:B,' Lista de Entrevistas'!A:A,"")</f>
        <v>57</v>
      </c>
      <c r="B402" s="5" t="s">
        <v>671</v>
      </c>
      <c r="C402" s="5" t="s">
        <v>76</v>
      </c>
      <c r="D402" s="5" t="s">
        <v>121</v>
      </c>
      <c r="E402" s="5" t="s">
        <v>1375</v>
      </c>
      <c r="F402" s="5" t="s">
        <v>1376</v>
      </c>
      <c r="G402" s="5" t="s">
        <v>891</v>
      </c>
      <c r="H402" s="5" t="s">
        <v>890</v>
      </c>
      <c r="I402" s="5" t="s">
        <v>982</v>
      </c>
      <c r="J402" s="5" t="s">
        <v>17</v>
      </c>
      <c r="K402" s="5" t="s">
        <v>8</v>
      </c>
    </row>
    <row r="403" spans="1:11" ht="28.8">
      <c r="A403" s="92">
        <f>_xlfn.XLOOKUP(B403,' Lista de Entrevistas'!B:B,' Lista de Entrevistas'!A:A,"")</f>
        <v>57</v>
      </c>
      <c r="B403" s="5" t="s">
        <v>671</v>
      </c>
      <c r="C403" s="5" t="s">
        <v>76</v>
      </c>
      <c r="D403" s="5" t="s">
        <v>121</v>
      </c>
      <c r="E403" s="5" t="s">
        <v>1377</v>
      </c>
      <c r="F403" s="5" t="s">
        <v>1378</v>
      </c>
      <c r="G403" s="5" t="s">
        <v>891</v>
      </c>
      <c r="H403" s="5" t="s">
        <v>890</v>
      </c>
      <c r="I403" s="5" t="s">
        <v>984</v>
      </c>
      <c r="J403" s="5" t="s">
        <v>17</v>
      </c>
      <c r="K403" s="5" t="s">
        <v>8</v>
      </c>
    </row>
    <row r="404" spans="1:11" ht="28.8">
      <c r="A404" s="92">
        <f>_xlfn.XLOOKUP(B404,' Lista de Entrevistas'!B:B,' Lista de Entrevistas'!A:A,"")</f>
        <v>57</v>
      </c>
      <c r="B404" s="5" t="s">
        <v>671</v>
      </c>
      <c r="C404" s="5" t="s">
        <v>76</v>
      </c>
      <c r="D404" s="5" t="s">
        <v>121</v>
      </c>
      <c r="E404" s="5" t="s">
        <v>1379</v>
      </c>
      <c r="F404" s="5" t="s">
        <v>1380</v>
      </c>
      <c r="G404" s="5" t="s">
        <v>862</v>
      </c>
      <c r="H404" s="5" t="s">
        <v>854</v>
      </c>
      <c r="I404" s="5" t="s">
        <v>986</v>
      </c>
      <c r="J404" s="5" t="s">
        <v>12</v>
      </c>
      <c r="K404" s="5" t="s">
        <v>8</v>
      </c>
    </row>
    <row r="405" spans="1:11">
      <c r="A405" s="92">
        <f>_xlfn.XLOOKUP(B405,' Lista de Entrevistas'!B:B,' Lista de Entrevistas'!A:A,"")</f>
        <v>58</v>
      </c>
      <c r="B405" t="s">
        <v>434</v>
      </c>
    </row>
    <row r="406" spans="1:11" ht="28.8">
      <c r="A406" s="92">
        <f>_xlfn.XLOOKUP(B406,' Lista de Entrevistas'!B:B,' Lista de Entrevistas'!A:A,"")</f>
        <v>59</v>
      </c>
      <c r="B406" s="5" t="s">
        <v>683</v>
      </c>
      <c r="C406" s="5" t="s">
        <v>76</v>
      </c>
      <c r="D406" s="5" t="s">
        <v>121</v>
      </c>
      <c r="E406" s="5" t="s">
        <v>1381</v>
      </c>
      <c r="F406" s="5" t="s">
        <v>1382</v>
      </c>
      <c r="G406" s="5" t="s">
        <v>894</v>
      </c>
      <c r="H406" s="5" t="s">
        <v>854</v>
      </c>
      <c r="I406" s="5" t="s">
        <v>982</v>
      </c>
      <c r="J406" s="5" t="s">
        <v>17</v>
      </c>
      <c r="K406" s="5" t="s">
        <v>8</v>
      </c>
    </row>
    <row r="407" spans="1:11" ht="28.8">
      <c r="A407" s="92">
        <f>_xlfn.XLOOKUP(B407,' Lista de Entrevistas'!B:B,' Lista de Entrevistas'!A:A,"")</f>
        <v>59</v>
      </c>
      <c r="B407" s="5" t="s">
        <v>683</v>
      </c>
      <c r="C407" s="5" t="s">
        <v>76</v>
      </c>
      <c r="D407" s="5" t="s">
        <v>121</v>
      </c>
      <c r="E407" s="5" t="s">
        <v>1383</v>
      </c>
      <c r="F407" s="5" t="s">
        <v>1384</v>
      </c>
      <c r="G407" s="5" t="s">
        <v>873</v>
      </c>
      <c r="H407" s="5" t="s">
        <v>890</v>
      </c>
      <c r="I407" s="5" t="s">
        <v>984</v>
      </c>
      <c r="J407" s="5" t="s">
        <v>17</v>
      </c>
      <c r="K407" s="5" t="s">
        <v>13</v>
      </c>
    </row>
    <row r="408" spans="1:11" ht="28.8">
      <c r="A408" s="92">
        <f>_xlfn.XLOOKUP(B408,' Lista de Entrevistas'!B:B,' Lista de Entrevistas'!A:A,"")</f>
        <v>59</v>
      </c>
      <c r="B408" s="5" t="s">
        <v>683</v>
      </c>
      <c r="C408" s="5" t="s">
        <v>76</v>
      </c>
      <c r="D408" s="5" t="s">
        <v>121</v>
      </c>
      <c r="E408" s="5" t="s">
        <v>1385</v>
      </c>
      <c r="F408" s="5" t="s">
        <v>1386</v>
      </c>
      <c r="G408" s="5" t="s">
        <v>880</v>
      </c>
      <c r="H408" s="5" t="s">
        <v>850</v>
      </c>
      <c r="I408" s="5" t="s">
        <v>982</v>
      </c>
      <c r="J408" s="5" t="s">
        <v>21</v>
      </c>
      <c r="K408" s="5" t="s">
        <v>8</v>
      </c>
    </row>
    <row r="409" spans="1:11" ht="28.8">
      <c r="A409" s="92">
        <f>_xlfn.XLOOKUP(B409,' Lista de Entrevistas'!B:B,' Lista de Entrevistas'!A:A,"")</f>
        <v>59</v>
      </c>
      <c r="B409" s="5" t="s">
        <v>683</v>
      </c>
      <c r="C409" s="5" t="s">
        <v>76</v>
      </c>
      <c r="D409" s="5" t="s">
        <v>121</v>
      </c>
      <c r="E409" s="5" t="s">
        <v>1387</v>
      </c>
      <c r="F409" s="5" t="s">
        <v>1388</v>
      </c>
      <c r="G409" s="5" t="s">
        <v>874</v>
      </c>
      <c r="H409" s="5" t="s">
        <v>890</v>
      </c>
      <c r="I409" s="5" t="s">
        <v>986</v>
      </c>
      <c r="J409" s="5" t="s">
        <v>21</v>
      </c>
      <c r="K409" s="5" t="s">
        <v>8</v>
      </c>
    </row>
    <row r="410" spans="1:11" ht="28.8">
      <c r="A410" s="92">
        <f>_xlfn.XLOOKUP(B410,' Lista de Entrevistas'!B:B,' Lista de Entrevistas'!A:A,"")</f>
        <v>59</v>
      </c>
      <c r="B410" s="5" t="s">
        <v>683</v>
      </c>
      <c r="C410" s="5" t="s">
        <v>76</v>
      </c>
      <c r="D410" s="5" t="s">
        <v>121</v>
      </c>
      <c r="E410" s="5" t="s">
        <v>1389</v>
      </c>
      <c r="F410" s="5" t="s">
        <v>1390</v>
      </c>
      <c r="G410" s="5" t="s">
        <v>874</v>
      </c>
      <c r="H410" s="5" t="s">
        <v>890</v>
      </c>
      <c r="I410" s="5" t="s">
        <v>986</v>
      </c>
      <c r="J410" s="5" t="s">
        <v>21</v>
      </c>
      <c r="K410" s="5" t="s">
        <v>8</v>
      </c>
    </row>
    <row r="411" spans="1:11" ht="28.8">
      <c r="A411" s="92">
        <f>_xlfn.XLOOKUP(B411,' Lista de Entrevistas'!B:B,' Lista de Entrevistas'!A:A,"")</f>
        <v>59</v>
      </c>
      <c r="B411" s="5" t="s">
        <v>683</v>
      </c>
      <c r="C411" s="5" t="s">
        <v>76</v>
      </c>
      <c r="D411" s="5" t="s">
        <v>121</v>
      </c>
      <c r="E411" s="5" t="s">
        <v>1391</v>
      </c>
      <c r="F411" s="5" t="s">
        <v>1392</v>
      </c>
      <c r="G411" s="5" t="s">
        <v>891</v>
      </c>
      <c r="H411" s="5" t="s">
        <v>890</v>
      </c>
      <c r="I411" s="5" t="s">
        <v>984</v>
      </c>
      <c r="J411" s="5" t="s">
        <v>21</v>
      </c>
      <c r="K411" s="5" t="s">
        <v>8</v>
      </c>
    </row>
    <row r="412" spans="1:11" ht="43.2">
      <c r="A412" s="92">
        <f>_xlfn.XLOOKUP(B412,' Lista de Entrevistas'!B:B,' Lista de Entrevistas'!A:A,"")</f>
        <v>59</v>
      </c>
      <c r="B412" s="5" t="s">
        <v>683</v>
      </c>
      <c r="C412" s="5" t="s">
        <v>76</v>
      </c>
      <c r="D412" s="5" t="s">
        <v>121</v>
      </c>
      <c r="E412" s="5" t="s">
        <v>1393</v>
      </c>
      <c r="F412" s="5" t="s">
        <v>1394</v>
      </c>
      <c r="G412" s="5" t="s">
        <v>880</v>
      </c>
      <c r="H412" s="5" t="s">
        <v>850</v>
      </c>
      <c r="I412" s="5" t="s">
        <v>982</v>
      </c>
      <c r="J412" s="5" t="s">
        <v>12</v>
      </c>
      <c r="K412" s="5" t="s">
        <v>13</v>
      </c>
    </row>
    <row r="413" spans="1:11" ht="43.2">
      <c r="A413" s="92">
        <f>_xlfn.XLOOKUP(B413,' Lista de Entrevistas'!B:B,' Lista de Entrevistas'!A:A,"")</f>
        <v>59</v>
      </c>
      <c r="B413" s="5" t="s">
        <v>683</v>
      </c>
      <c r="C413" s="5" t="s">
        <v>76</v>
      </c>
      <c r="D413" s="5" t="s">
        <v>121</v>
      </c>
      <c r="E413" s="5" t="s">
        <v>1395</v>
      </c>
      <c r="F413" s="5" t="s">
        <v>1396</v>
      </c>
      <c r="G413" s="5" t="s">
        <v>402</v>
      </c>
      <c r="H413" s="5" t="s">
        <v>850</v>
      </c>
      <c r="I413" s="5" t="s">
        <v>980</v>
      </c>
      <c r="J413" s="5" t="s">
        <v>12</v>
      </c>
      <c r="K413" s="5" t="s">
        <v>8</v>
      </c>
    </row>
    <row r="414" spans="1:11" ht="28.8">
      <c r="A414" s="92">
        <f>_xlfn.XLOOKUP(B414,' Lista de Entrevistas'!B:B,' Lista de Entrevistas'!A:A,"")</f>
        <v>59</v>
      </c>
      <c r="B414" s="5" t="s">
        <v>683</v>
      </c>
      <c r="C414" s="5" t="s">
        <v>76</v>
      </c>
      <c r="D414" s="5" t="s">
        <v>121</v>
      </c>
      <c r="E414" s="5" t="s">
        <v>1397</v>
      </c>
      <c r="F414" s="5" t="s">
        <v>1398</v>
      </c>
      <c r="G414" s="5" t="s">
        <v>402</v>
      </c>
      <c r="H414" s="5" t="s">
        <v>850</v>
      </c>
      <c r="I414" s="5" t="s">
        <v>982</v>
      </c>
      <c r="J414" s="5" t="s">
        <v>12</v>
      </c>
      <c r="K414" s="5" t="s">
        <v>8</v>
      </c>
    </row>
    <row r="415" spans="1:11">
      <c r="A415" s="92">
        <f>_xlfn.XLOOKUP(B415,' Lista de Entrevistas'!B:B,' Lista de Entrevistas'!A:A,"")</f>
        <v>60</v>
      </c>
      <c r="B415" t="s">
        <v>489</v>
      </c>
    </row>
    <row r="416" spans="1:11" ht="43.2">
      <c r="A416" s="92">
        <f>_xlfn.XLOOKUP(B416,' Lista de Entrevistas'!B:B,' Lista de Entrevistas'!A:A,"")</f>
        <v>60</v>
      </c>
      <c r="B416" s="5" t="s">
        <v>489</v>
      </c>
      <c r="C416" s="5" t="s">
        <v>1547</v>
      </c>
      <c r="D416" s="5" t="s">
        <v>145</v>
      </c>
      <c r="E416" s="5" t="s">
        <v>1548</v>
      </c>
      <c r="F416" s="5" t="s">
        <v>1549</v>
      </c>
      <c r="G416" s="5" t="s">
        <v>858</v>
      </c>
      <c r="H416" s="5" t="s">
        <v>854</v>
      </c>
      <c r="I416" s="5" t="s">
        <v>984</v>
      </c>
      <c r="J416" s="5" t="s">
        <v>21</v>
      </c>
      <c r="K416" s="5" t="s">
        <v>8</v>
      </c>
    </row>
    <row r="417" spans="1:11" ht="28.8">
      <c r="A417" s="92">
        <f>_xlfn.XLOOKUP(B417,' Lista de Entrevistas'!B:B,' Lista de Entrevistas'!A:A,"")</f>
        <v>60</v>
      </c>
      <c r="B417" s="5" t="s">
        <v>489</v>
      </c>
      <c r="C417" s="5" t="s">
        <v>1547</v>
      </c>
      <c r="D417" s="5" t="s">
        <v>145</v>
      </c>
      <c r="E417" s="5" t="s">
        <v>1550</v>
      </c>
      <c r="F417" s="5" t="s">
        <v>1551</v>
      </c>
      <c r="G417" s="5" t="s">
        <v>862</v>
      </c>
      <c r="H417" s="5" t="s">
        <v>854</v>
      </c>
      <c r="I417" s="5" t="s">
        <v>994</v>
      </c>
      <c r="J417" s="5" t="s">
        <v>21</v>
      </c>
      <c r="K417" s="5" t="s">
        <v>8</v>
      </c>
    </row>
    <row r="418" spans="1:11" ht="28.8">
      <c r="A418" s="92">
        <f>_xlfn.XLOOKUP(B418,' Lista de Entrevistas'!B:B,' Lista de Entrevistas'!A:A,"")</f>
        <v>60</v>
      </c>
      <c r="B418" s="5" t="s">
        <v>489</v>
      </c>
      <c r="C418" s="5" t="s">
        <v>1547</v>
      </c>
      <c r="D418" s="5" t="s">
        <v>145</v>
      </c>
      <c r="E418" s="5" t="s">
        <v>1552</v>
      </c>
      <c r="F418" s="5" t="s">
        <v>1553</v>
      </c>
      <c r="G418" s="5" t="s">
        <v>884</v>
      </c>
      <c r="H418" s="5" t="s">
        <v>28</v>
      </c>
      <c r="I418" s="5" t="s">
        <v>994</v>
      </c>
      <c r="J418" s="5" t="s">
        <v>21</v>
      </c>
      <c r="K418" s="5" t="s">
        <v>8</v>
      </c>
    </row>
    <row r="419" spans="1:11" ht="28.8">
      <c r="A419" s="92">
        <f>_xlfn.XLOOKUP(B419,' Lista de Entrevistas'!B:B,' Lista de Entrevistas'!A:A,"")</f>
        <v>60</v>
      </c>
      <c r="B419" s="5" t="s">
        <v>489</v>
      </c>
      <c r="C419" s="5" t="s">
        <v>1547</v>
      </c>
      <c r="D419" s="5" t="s">
        <v>145</v>
      </c>
      <c r="E419" s="5" t="s">
        <v>1554</v>
      </c>
      <c r="F419" s="5" t="s">
        <v>1555</v>
      </c>
      <c r="G419" s="5" t="s">
        <v>861</v>
      </c>
      <c r="H419" s="5" t="s">
        <v>854</v>
      </c>
      <c r="I419" s="5" t="s">
        <v>982</v>
      </c>
      <c r="J419" s="5" t="s">
        <v>21</v>
      </c>
      <c r="K419" s="5" t="s">
        <v>8</v>
      </c>
    </row>
    <row r="420" spans="1:11" ht="28.8">
      <c r="A420" s="92">
        <f>_xlfn.XLOOKUP(B420,' Lista de Entrevistas'!B:B,' Lista de Entrevistas'!A:A,"")</f>
        <v>60</v>
      </c>
      <c r="B420" s="5" t="s">
        <v>489</v>
      </c>
      <c r="C420" s="5" t="s">
        <v>1547</v>
      </c>
      <c r="D420" s="5" t="s">
        <v>145</v>
      </c>
      <c r="E420" s="5" t="s">
        <v>1556</v>
      </c>
      <c r="F420" s="5" t="s">
        <v>1557</v>
      </c>
      <c r="G420" s="5" t="s">
        <v>1558</v>
      </c>
      <c r="H420" s="5" t="s">
        <v>850</v>
      </c>
      <c r="I420" s="5" t="s">
        <v>986</v>
      </c>
      <c r="J420" s="5" t="s">
        <v>21</v>
      </c>
      <c r="K420" s="5" t="s">
        <v>8</v>
      </c>
    </row>
    <row r="421" spans="1:11" ht="28.8">
      <c r="A421" s="92">
        <f>_xlfn.XLOOKUP(B421,' Lista de Entrevistas'!B:B,' Lista de Entrevistas'!A:A,"")</f>
        <v>60</v>
      </c>
      <c r="B421" s="5" t="s">
        <v>489</v>
      </c>
      <c r="C421" s="5" t="s">
        <v>1547</v>
      </c>
      <c r="D421" s="5" t="s">
        <v>145</v>
      </c>
      <c r="E421" s="5" t="s">
        <v>1559</v>
      </c>
      <c r="F421" s="5" t="s">
        <v>1560</v>
      </c>
      <c r="G421" s="5" t="s">
        <v>872</v>
      </c>
      <c r="H421" s="5" t="s">
        <v>890</v>
      </c>
      <c r="I421" s="5" t="s">
        <v>984</v>
      </c>
      <c r="J421" s="5" t="s">
        <v>21</v>
      </c>
      <c r="K421" s="5" t="s">
        <v>8</v>
      </c>
    </row>
    <row r="422" spans="1:11" ht="28.8">
      <c r="A422" s="92">
        <f>_xlfn.XLOOKUP(B422,' Lista de Entrevistas'!B:B,' Lista de Entrevistas'!A:A,"")</f>
        <v>60</v>
      </c>
      <c r="B422" s="5" t="s">
        <v>489</v>
      </c>
      <c r="C422" s="5" t="s">
        <v>1547</v>
      </c>
      <c r="D422" s="5" t="s">
        <v>145</v>
      </c>
      <c r="E422" s="5" t="s">
        <v>1561</v>
      </c>
      <c r="F422" s="5" t="s">
        <v>1562</v>
      </c>
      <c r="G422" s="5" t="s">
        <v>872</v>
      </c>
      <c r="H422" s="5" t="s">
        <v>890</v>
      </c>
      <c r="I422" s="5" t="s">
        <v>984</v>
      </c>
      <c r="J422" s="5" t="s">
        <v>17</v>
      </c>
      <c r="K422" s="5" t="s">
        <v>8</v>
      </c>
    </row>
    <row r="423" spans="1:11" ht="28.8">
      <c r="A423" s="92">
        <f>_xlfn.XLOOKUP(B423,' Lista de Entrevistas'!B:B,' Lista de Entrevistas'!A:A,"")</f>
        <v>60</v>
      </c>
      <c r="B423" s="5" t="s">
        <v>489</v>
      </c>
      <c r="C423" s="5" t="s">
        <v>1547</v>
      </c>
      <c r="D423" s="5" t="s">
        <v>145</v>
      </c>
      <c r="E423" s="5" t="s">
        <v>1563</v>
      </c>
      <c r="F423" s="5" t="s">
        <v>1564</v>
      </c>
      <c r="G423" s="5" t="s">
        <v>886</v>
      </c>
      <c r="H423" s="5" t="s">
        <v>28</v>
      </c>
      <c r="I423" s="5" t="s">
        <v>994</v>
      </c>
      <c r="J423" s="5" t="s">
        <v>21</v>
      </c>
      <c r="K423" s="5" t="s">
        <v>8</v>
      </c>
    </row>
    <row r="424" spans="1:11" ht="28.8">
      <c r="A424" s="92">
        <f>_xlfn.XLOOKUP(B424,' Lista de Entrevistas'!B:B,' Lista de Entrevistas'!A:A,"")</f>
        <v>60</v>
      </c>
      <c r="B424" s="5" t="s">
        <v>489</v>
      </c>
      <c r="C424" s="5" t="s">
        <v>1547</v>
      </c>
      <c r="D424" s="5" t="s">
        <v>145</v>
      </c>
      <c r="E424" s="5" t="s">
        <v>1565</v>
      </c>
      <c r="F424" s="5" t="s">
        <v>1566</v>
      </c>
      <c r="G424" s="5" t="s">
        <v>858</v>
      </c>
      <c r="H424" s="5" t="s">
        <v>854</v>
      </c>
      <c r="I424" s="5" t="s">
        <v>988</v>
      </c>
      <c r="J424" s="5" t="s">
        <v>21</v>
      </c>
      <c r="K424" s="5" t="s">
        <v>8</v>
      </c>
    </row>
    <row r="425" spans="1:11" ht="28.8">
      <c r="A425" s="92">
        <f>_xlfn.XLOOKUP(B425,' Lista de Entrevistas'!B:B,' Lista de Entrevistas'!A:A,"")</f>
        <v>60</v>
      </c>
      <c r="B425" s="5" t="s">
        <v>489</v>
      </c>
      <c r="C425" s="5" t="s">
        <v>1547</v>
      </c>
      <c r="D425" s="5" t="s">
        <v>145</v>
      </c>
      <c r="E425" s="5" t="s">
        <v>1567</v>
      </c>
      <c r="F425" s="5" t="s">
        <v>1568</v>
      </c>
      <c r="G425" s="5" t="s">
        <v>858</v>
      </c>
      <c r="H425" s="5" t="s">
        <v>854</v>
      </c>
      <c r="I425" s="5" t="s">
        <v>980</v>
      </c>
      <c r="J425" s="5" t="s">
        <v>21</v>
      </c>
      <c r="K425" s="5" t="s">
        <v>8</v>
      </c>
    </row>
    <row r="426" spans="1:11" ht="28.8">
      <c r="A426" s="92">
        <f>_xlfn.XLOOKUP(B426,' Lista de Entrevistas'!B:B,' Lista de Entrevistas'!A:A,"")</f>
        <v>60</v>
      </c>
      <c r="B426" s="5" t="s">
        <v>489</v>
      </c>
      <c r="C426" s="5" t="s">
        <v>1547</v>
      </c>
      <c r="D426" s="5" t="s">
        <v>145</v>
      </c>
      <c r="E426" s="5" t="s">
        <v>1569</v>
      </c>
      <c r="F426" s="5" t="s">
        <v>1570</v>
      </c>
      <c r="G426" s="5" t="s">
        <v>891</v>
      </c>
      <c r="H426" s="5" t="s">
        <v>890</v>
      </c>
      <c r="I426" s="5" t="s">
        <v>978</v>
      </c>
      <c r="J426" s="5" t="s">
        <v>17</v>
      </c>
      <c r="K426" s="5" t="s">
        <v>8</v>
      </c>
    </row>
    <row r="427" spans="1:11" ht="28.8">
      <c r="A427" s="92">
        <f>_xlfn.XLOOKUP(B427,' Lista de Entrevistas'!B:B,' Lista de Entrevistas'!A:A,"")</f>
        <v>60</v>
      </c>
      <c r="B427" s="5" t="s">
        <v>489</v>
      </c>
      <c r="C427" s="5" t="s">
        <v>1547</v>
      </c>
      <c r="D427" s="5" t="s">
        <v>145</v>
      </c>
      <c r="E427" s="5" t="s">
        <v>1571</v>
      </c>
      <c r="F427" s="5" t="s">
        <v>1572</v>
      </c>
      <c r="G427" s="5" t="s">
        <v>885</v>
      </c>
      <c r="H427" s="5" t="s">
        <v>28</v>
      </c>
      <c r="I427" s="5" t="s">
        <v>986</v>
      </c>
      <c r="J427" s="5" t="s">
        <v>21</v>
      </c>
      <c r="K427" s="5" t="s">
        <v>8</v>
      </c>
    </row>
    <row r="428" spans="1:11" ht="28.8">
      <c r="A428" s="92">
        <f>_xlfn.XLOOKUP(B428,' Lista de Entrevistas'!B:B,' Lista de Entrevistas'!A:A,"")</f>
        <v>60</v>
      </c>
      <c r="B428" s="5" t="s">
        <v>489</v>
      </c>
      <c r="C428" s="5" t="s">
        <v>1547</v>
      </c>
      <c r="D428" s="5" t="s">
        <v>145</v>
      </c>
      <c r="E428" s="5" t="s">
        <v>1573</v>
      </c>
      <c r="F428" s="5" t="s">
        <v>1574</v>
      </c>
      <c r="G428" s="5" t="s">
        <v>876</v>
      </c>
      <c r="H428" s="5" t="s">
        <v>890</v>
      </c>
      <c r="I428" s="5" t="s">
        <v>986</v>
      </c>
      <c r="J428" s="5" t="s">
        <v>17</v>
      </c>
      <c r="K428" s="5" t="s">
        <v>8</v>
      </c>
    </row>
    <row r="429" spans="1:11" ht="28.8">
      <c r="A429" s="92">
        <f>_xlfn.XLOOKUP(B429,' Lista de Entrevistas'!B:B,' Lista de Entrevistas'!A:A,"")</f>
        <v>60</v>
      </c>
      <c r="B429" s="5" t="s">
        <v>489</v>
      </c>
      <c r="C429" s="5" t="s">
        <v>1547</v>
      </c>
      <c r="D429" s="5" t="s">
        <v>145</v>
      </c>
      <c r="E429" s="5" t="s">
        <v>1575</v>
      </c>
      <c r="F429" s="5" t="s">
        <v>1576</v>
      </c>
      <c r="G429" s="5" t="s">
        <v>1577</v>
      </c>
      <c r="H429" s="5" t="s">
        <v>854</v>
      </c>
      <c r="I429" s="5" t="s">
        <v>982</v>
      </c>
      <c r="J429" s="5" t="s">
        <v>21</v>
      </c>
      <c r="K429" s="5" t="s">
        <v>8</v>
      </c>
    </row>
    <row r="430" spans="1:11" ht="28.8">
      <c r="A430" s="92">
        <f>_xlfn.XLOOKUP(B430,' Lista de Entrevistas'!B:B,' Lista de Entrevistas'!A:A,"")</f>
        <v>60</v>
      </c>
      <c r="B430" s="5" t="s">
        <v>489</v>
      </c>
      <c r="C430" s="5" t="s">
        <v>1547</v>
      </c>
      <c r="D430" s="5" t="s">
        <v>145</v>
      </c>
      <c r="E430" s="5" t="s">
        <v>1578</v>
      </c>
      <c r="F430" s="5" t="s">
        <v>1579</v>
      </c>
      <c r="G430" s="5" t="s">
        <v>884</v>
      </c>
      <c r="H430" s="5" t="s">
        <v>28</v>
      </c>
      <c r="I430" s="5" t="s">
        <v>980</v>
      </c>
      <c r="J430" s="5" t="s">
        <v>21</v>
      </c>
      <c r="K430" s="5" t="s">
        <v>8</v>
      </c>
    </row>
    <row r="431" spans="1:11">
      <c r="A431" s="92">
        <f>_xlfn.XLOOKUP(B431,' Lista de Entrevistas'!B:B,' Lista de Entrevistas'!A:A,"")</f>
        <v>61</v>
      </c>
      <c r="B431" t="s">
        <v>584</v>
      </c>
    </row>
    <row r="432" spans="1:11" ht="43.2">
      <c r="A432" s="92">
        <f>_xlfn.XLOOKUP(B432,' Lista de Entrevistas'!B:B,' Lista de Entrevistas'!A:A,"")</f>
        <v>61</v>
      </c>
      <c r="B432" s="5" t="s">
        <v>584</v>
      </c>
      <c r="C432" s="5" t="s">
        <v>1032</v>
      </c>
      <c r="D432" s="5" t="s">
        <v>145</v>
      </c>
      <c r="E432" s="5" t="s">
        <v>1613</v>
      </c>
      <c r="F432" s="5" t="s">
        <v>1614</v>
      </c>
      <c r="G432" s="5" t="s">
        <v>876</v>
      </c>
      <c r="H432" s="5" t="s">
        <v>890</v>
      </c>
      <c r="I432" s="5" t="s">
        <v>982</v>
      </c>
      <c r="J432" s="5" t="s">
        <v>17</v>
      </c>
      <c r="K432" s="5" t="s">
        <v>8</v>
      </c>
    </row>
    <row r="433" spans="1:11" ht="43.2">
      <c r="A433" s="92">
        <f>_xlfn.XLOOKUP(B433,' Lista de Entrevistas'!B:B,' Lista de Entrevistas'!A:A,"")</f>
        <v>61</v>
      </c>
      <c r="B433" s="5" t="s">
        <v>584</v>
      </c>
      <c r="C433" s="5" t="s">
        <v>1032</v>
      </c>
      <c r="D433" s="5" t="s">
        <v>145</v>
      </c>
      <c r="E433" s="5" t="s">
        <v>1613</v>
      </c>
      <c r="F433" s="5" t="s">
        <v>1614</v>
      </c>
      <c r="G433" s="5" t="s">
        <v>876</v>
      </c>
      <c r="H433" s="5" t="s">
        <v>890</v>
      </c>
      <c r="I433" s="5" t="s">
        <v>980</v>
      </c>
      <c r="J433" s="5" t="s">
        <v>17</v>
      </c>
      <c r="K433" s="5" t="s">
        <v>8</v>
      </c>
    </row>
    <row r="434" spans="1:11" ht="28.8">
      <c r="A434" s="92">
        <f>_xlfn.XLOOKUP(B434,' Lista de Entrevistas'!B:B,' Lista de Entrevistas'!A:A,"")</f>
        <v>61</v>
      </c>
      <c r="B434" s="5" t="s">
        <v>584</v>
      </c>
      <c r="C434" s="5" t="s">
        <v>1032</v>
      </c>
      <c r="D434" s="5" t="s">
        <v>145</v>
      </c>
      <c r="E434" s="5" t="s">
        <v>1615</v>
      </c>
      <c r="F434" s="5" t="s">
        <v>1616</v>
      </c>
      <c r="G434" s="5" t="s">
        <v>877</v>
      </c>
      <c r="H434" s="5" t="s">
        <v>850</v>
      </c>
      <c r="I434" s="5" t="s">
        <v>994</v>
      </c>
      <c r="J434" s="5" t="s">
        <v>21</v>
      </c>
      <c r="K434" s="5" t="s">
        <v>8</v>
      </c>
    </row>
    <row r="435" spans="1:11" ht="28.8">
      <c r="A435" s="92">
        <f>_xlfn.XLOOKUP(B435,' Lista de Entrevistas'!B:B,' Lista de Entrevistas'!A:A,"")</f>
        <v>61</v>
      </c>
      <c r="B435" s="5" t="s">
        <v>584</v>
      </c>
      <c r="C435" s="5" t="s">
        <v>1032</v>
      </c>
      <c r="D435" s="5" t="s">
        <v>145</v>
      </c>
      <c r="E435" s="5" t="s">
        <v>1615</v>
      </c>
      <c r="F435" s="5" t="s">
        <v>1616</v>
      </c>
      <c r="G435" s="5" t="s">
        <v>877</v>
      </c>
      <c r="H435" s="5" t="s">
        <v>850</v>
      </c>
      <c r="I435" s="5" t="s">
        <v>982</v>
      </c>
      <c r="J435" s="5" t="s">
        <v>21</v>
      </c>
      <c r="K435" s="5" t="s">
        <v>8</v>
      </c>
    </row>
    <row r="436" spans="1:11" ht="28.8">
      <c r="A436" s="92">
        <f>_xlfn.XLOOKUP(B436,' Lista de Entrevistas'!B:B,' Lista de Entrevistas'!A:A,"")</f>
        <v>61</v>
      </c>
      <c r="B436" s="5" t="s">
        <v>584</v>
      </c>
      <c r="C436" s="5" t="s">
        <v>1032</v>
      </c>
      <c r="D436" s="5" t="s">
        <v>145</v>
      </c>
      <c r="E436" s="5" t="s">
        <v>1617</v>
      </c>
      <c r="F436" s="5" t="s">
        <v>1618</v>
      </c>
      <c r="G436" s="5" t="s">
        <v>878</v>
      </c>
      <c r="H436" s="5" t="s">
        <v>850</v>
      </c>
      <c r="I436" s="5" t="s">
        <v>994</v>
      </c>
      <c r="J436" s="5" t="s">
        <v>21</v>
      </c>
      <c r="K436" s="5" t="s">
        <v>8</v>
      </c>
    </row>
    <row r="437" spans="1:11">
      <c r="A437" s="92">
        <f>_xlfn.XLOOKUP(B437,' Lista de Entrevistas'!B:B,' Lista de Entrevistas'!A:A,"")</f>
        <v>61</v>
      </c>
      <c r="B437" s="5" t="s">
        <v>584</v>
      </c>
      <c r="C437" s="5" t="s">
        <v>1032</v>
      </c>
      <c r="D437" s="5" t="s">
        <v>145</v>
      </c>
      <c r="E437" s="5" t="s">
        <v>1617</v>
      </c>
      <c r="F437" s="5" t="s">
        <v>1618</v>
      </c>
      <c r="G437" s="5" t="s">
        <v>878</v>
      </c>
      <c r="H437" s="5" t="s">
        <v>850</v>
      </c>
      <c r="I437" s="5" t="s">
        <v>984</v>
      </c>
      <c r="J437" s="5" t="s">
        <v>21</v>
      </c>
      <c r="K437" s="5" t="s">
        <v>8</v>
      </c>
    </row>
    <row r="438" spans="1:11" ht="28.8">
      <c r="A438" s="92">
        <f>_xlfn.XLOOKUP(B438,' Lista de Entrevistas'!B:B,' Lista de Entrevistas'!A:A,"")</f>
        <v>61</v>
      </c>
      <c r="B438" s="5" t="s">
        <v>584</v>
      </c>
      <c r="C438" s="5" t="s">
        <v>1032</v>
      </c>
      <c r="D438" s="5" t="s">
        <v>145</v>
      </c>
      <c r="E438" s="5" t="s">
        <v>1619</v>
      </c>
      <c r="F438" s="5" t="s">
        <v>1620</v>
      </c>
      <c r="G438" s="5" t="s">
        <v>858</v>
      </c>
      <c r="H438" s="5" t="s">
        <v>854</v>
      </c>
      <c r="I438" s="5" t="s">
        <v>984</v>
      </c>
      <c r="J438" s="5" t="s">
        <v>21</v>
      </c>
      <c r="K438" s="5" t="s">
        <v>8</v>
      </c>
    </row>
    <row r="439" spans="1:11" ht="28.8">
      <c r="A439" s="92">
        <f>_xlfn.XLOOKUP(B439,' Lista de Entrevistas'!B:B,' Lista de Entrevistas'!A:A,"")</f>
        <v>61</v>
      </c>
      <c r="B439" s="5" t="s">
        <v>584</v>
      </c>
      <c r="C439" s="5" t="s">
        <v>1032</v>
      </c>
      <c r="D439" s="5" t="s">
        <v>145</v>
      </c>
      <c r="E439" s="5" t="s">
        <v>1619</v>
      </c>
      <c r="F439" s="5" t="s">
        <v>1620</v>
      </c>
      <c r="G439" s="5" t="s">
        <v>858</v>
      </c>
      <c r="H439" s="5" t="s">
        <v>854</v>
      </c>
      <c r="I439" s="5" t="s">
        <v>994</v>
      </c>
      <c r="J439" s="5" t="s">
        <v>21</v>
      </c>
      <c r="K439" s="5" t="s">
        <v>8</v>
      </c>
    </row>
    <row r="440" spans="1:11" ht="28.8">
      <c r="A440" s="92">
        <f>_xlfn.XLOOKUP(B440,' Lista de Entrevistas'!B:B,' Lista de Entrevistas'!A:A,"")</f>
        <v>61</v>
      </c>
      <c r="B440" s="5" t="s">
        <v>584</v>
      </c>
      <c r="C440" s="5" t="s">
        <v>1032</v>
      </c>
      <c r="D440" s="5" t="s">
        <v>145</v>
      </c>
      <c r="E440" s="5" t="s">
        <v>1621</v>
      </c>
      <c r="F440" s="5" t="s">
        <v>1622</v>
      </c>
      <c r="G440" s="5" t="s">
        <v>880</v>
      </c>
      <c r="H440" s="5" t="s">
        <v>850</v>
      </c>
      <c r="I440" s="5" t="s">
        <v>982</v>
      </c>
      <c r="J440" s="5" t="s">
        <v>21</v>
      </c>
      <c r="K440" s="5" t="s">
        <v>8</v>
      </c>
    </row>
    <row r="441" spans="1:11" ht="28.8">
      <c r="A441" s="92">
        <f>_xlfn.XLOOKUP(B441,' Lista de Entrevistas'!B:B,' Lista de Entrevistas'!A:A,"")</f>
        <v>61</v>
      </c>
      <c r="B441" s="5" t="s">
        <v>584</v>
      </c>
      <c r="C441" s="5" t="s">
        <v>1032</v>
      </c>
      <c r="D441" s="5" t="s">
        <v>145</v>
      </c>
      <c r="E441" s="5" t="s">
        <v>1621</v>
      </c>
      <c r="F441" s="5" t="s">
        <v>1622</v>
      </c>
      <c r="G441" s="5" t="s">
        <v>880</v>
      </c>
      <c r="H441" s="5" t="s">
        <v>850</v>
      </c>
      <c r="I441" s="5" t="s">
        <v>980</v>
      </c>
      <c r="J441" s="5" t="s">
        <v>21</v>
      </c>
      <c r="K441" s="5" t="s">
        <v>8</v>
      </c>
    </row>
    <row r="442" spans="1:11" ht="28.8">
      <c r="A442" s="92">
        <f>_xlfn.XLOOKUP(B442,' Lista de Entrevistas'!B:B,' Lista de Entrevistas'!A:A,"")</f>
        <v>61</v>
      </c>
      <c r="B442" s="5" t="s">
        <v>584</v>
      </c>
      <c r="C442" s="5" t="s">
        <v>1032</v>
      </c>
      <c r="D442" s="5" t="s">
        <v>145</v>
      </c>
      <c r="E442" s="5" t="s">
        <v>1623</v>
      </c>
      <c r="F442" s="5" t="s">
        <v>1624</v>
      </c>
      <c r="G442" s="5" t="s">
        <v>880</v>
      </c>
      <c r="H442" s="5" t="s">
        <v>850</v>
      </c>
      <c r="I442" s="5" t="s">
        <v>982</v>
      </c>
      <c r="J442" s="5" t="s">
        <v>17</v>
      </c>
      <c r="K442" s="5" t="s">
        <v>8</v>
      </c>
    </row>
    <row r="443" spans="1:11" ht="28.8">
      <c r="A443" s="92">
        <f>_xlfn.XLOOKUP(B443,' Lista de Entrevistas'!B:B,' Lista de Entrevistas'!A:A,"")</f>
        <v>61</v>
      </c>
      <c r="B443" s="5" t="s">
        <v>584</v>
      </c>
      <c r="C443" s="5" t="s">
        <v>1032</v>
      </c>
      <c r="D443" s="5" t="s">
        <v>145</v>
      </c>
      <c r="E443" s="5" t="s">
        <v>1623</v>
      </c>
      <c r="F443" s="5" t="s">
        <v>1624</v>
      </c>
      <c r="G443" s="5" t="s">
        <v>880</v>
      </c>
      <c r="H443" s="5" t="s">
        <v>850</v>
      </c>
      <c r="I443" s="5" t="s">
        <v>988</v>
      </c>
      <c r="J443" s="5" t="s">
        <v>17</v>
      </c>
      <c r="K443" s="5" t="s">
        <v>8</v>
      </c>
    </row>
    <row r="444" spans="1:11" ht="28.8">
      <c r="A444" s="92">
        <f>_xlfn.XLOOKUP(B444,' Lista de Entrevistas'!B:B,' Lista de Entrevistas'!A:A,"")</f>
        <v>61</v>
      </c>
      <c r="B444" s="5" t="s">
        <v>584</v>
      </c>
      <c r="C444" s="5" t="s">
        <v>1032</v>
      </c>
      <c r="D444" s="5" t="s">
        <v>145</v>
      </c>
      <c r="E444" s="5" t="s">
        <v>1625</v>
      </c>
      <c r="F444" s="5" t="s">
        <v>1626</v>
      </c>
      <c r="G444" s="5" t="s">
        <v>874</v>
      </c>
      <c r="H444" s="5" t="s">
        <v>890</v>
      </c>
      <c r="I444" s="5" t="s">
        <v>982</v>
      </c>
      <c r="J444" s="5" t="s">
        <v>21</v>
      </c>
      <c r="K444" s="5" t="s">
        <v>8</v>
      </c>
    </row>
    <row r="445" spans="1:11" ht="28.8">
      <c r="A445" s="92">
        <f>_xlfn.XLOOKUP(B445,' Lista de Entrevistas'!B:B,' Lista de Entrevistas'!A:A,"")</f>
        <v>61</v>
      </c>
      <c r="B445" s="5" t="s">
        <v>584</v>
      </c>
      <c r="C445" s="5" t="s">
        <v>1032</v>
      </c>
      <c r="D445" s="5" t="s">
        <v>145</v>
      </c>
      <c r="E445" s="5" t="s">
        <v>1625</v>
      </c>
      <c r="F445" s="5" t="s">
        <v>1626</v>
      </c>
      <c r="G445" s="5" t="s">
        <v>874</v>
      </c>
      <c r="H445" s="5" t="s">
        <v>890</v>
      </c>
      <c r="I445" s="5" t="s">
        <v>984</v>
      </c>
      <c r="J445" s="5" t="s">
        <v>21</v>
      </c>
      <c r="K445" s="5" t="s">
        <v>8</v>
      </c>
    </row>
    <row r="446" spans="1:11" ht="28.8">
      <c r="A446" s="92">
        <f>_xlfn.XLOOKUP(B446,' Lista de Entrevistas'!B:B,' Lista de Entrevistas'!A:A,"")</f>
        <v>61</v>
      </c>
      <c r="B446" s="5" t="s">
        <v>584</v>
      </c>
      <c r="C446" s="5" t="s">
        <v>1032</v>
      </c>
      <c r="D446" s="5" t="s">
        <v>145</v>
      </c>
      <c r="E446" s="5" t="s">
        <v>1627</v>
      </c>
      <c r="F446" s="5" t="s">
        <v>1628</v>
      </c>
      <c r="G446" s="5" t="s">
        <v>874</v>
      </c>
      <c r="H446" s="5" t="s">
        <v>890</v>
      </c>
      <c r="I446" s="5" t="s">
        <v>984</v>
      </c>
      <c r="J446" s="5" t="s">
        <v>21</v>
      </c>
      <c r="K446" s="5" t="s">
        <v>8</v>
      </c>
    </row>
    <row r="447" spans="1:11" ht="28.8">
      <c r="A447" s="92">
        <f>_xlfn.XLOOKUP(B447,' Lista de Entrevistas'!B:B,' Lista de Entrevistas'!A:A,"")</f>
        <v>61</v>
      </c>
      <c r="B447" s="5" t="s">
        <v>584</v>
      </c>
      <c r="C447" s="5" t="s">
        <v>1032</v>
      </c>
      <c r="D447" s="5" t="s">
        <v>145</v>
      </c>
      <c r="E447" s="5" t="s">
        <v>1627</v>
      </c>
      <c r="F447" s="5" t="s">
        <v>1628</v>
      </c>
      <c r="G447" s="5" t="s">
        <v>874</v>
      </c>
      <c r="H447" s="5" t="s">
        <v>890</v>
      </c>
      <c r="I447" s="5" t="s">
        <v>982</v>
      </c>
      <c r="J447" s="5" t="s">
        <v>21</v>
      </c>
      <c r="K447" s="5" t="s">
        <v>8</v>
      </c>
    </row>
    <row r="448" spans="1:11" ht="28.8">
      <c r="A448" s="92">
        <f>_xlfn.XLOOKUP(B448,' Lista de Entrevistas'!B:B,' Lista de Entrevistas'!A:A,"")</f>
        <v>61</v>
      </c>
      <c r="B448" s="5" t="s">
        <v>584</v>
      </c>
      <c r="C448" s="5" t="s">
        <v>1032</v>
      </c>
      <c r="D448" s="5" t="s">
        <v>145</v>
      </c>
      <c r="E448" s="5" t="s">
        <v>1629</v>
      </c>
      <c r="F448" s="5" t="s">
        <v>1630</v>
      </c>
      <c r="G448" s="5" t="s">
        <v>891</v>
      </c>
      <c r="H448" s="5" t="s">
        <v>890</v>
      </c>
      <c r="I448" s="5" t="s">
        <v>984</v>
      </c>
      <c r="J448" s="5" t="s">
        <v>17</v>
      </c>
      <c r="K448" s="5" t="s">
        <v>8</v>
      </c>
    </row>
    <row r="449" spans="1:11" ht="28.8">
      <c r="A449" s="92">
        <f>_xlfn.XLOOKUP(B449,' Lista de Entrevistas'!B:B,' Lista de Entrevistas'!A:A,"")</f>
        <v>61</v>
      </c>
      <c r="B449" s="5" t="s">
        <v>584</v>
      </c>
      <c r="C449" s="5" t="s">
        <v>1032</v>
      </c>
      <c r="D449" s="5" t="s">
        <v>145</v>
      </c>
      <c r="E449" s="5" t="s">
        <v>1631</v>
      </c>
      <c r="F449" s="5" t="s">
        <v>1632</v>
      </c>
      <c r="G449" s="5" t="s">
        <v>880</v>
      </c>
      <c r="H449" s="5" t="s">
        <v>850</v>
      </c>
      <c r="I449" s="5" t="s">
        <v>982</v>
      </c>
      <c r="J449" s="5" t="s">
        <v>12</v>
      </c>
      <c r="K449" s="5" t="s">
        <v>8</v>
      </c>
    </row>
    <row r="450" spans="1:11" ht="28.8">
      <c r="A450" s="92">
        <f>_xlfn.XLOOKUP(B450,' Lista de Entrevistas'!B:B,' Lista de Entrevistas'!A:A,"")</f>
        <v>61</v>
      </c>
      <c r="B450" s="5" t="s">
        <v>584</v>
      </c>
      <c r="C450" s="5" t="s">
        <v>1032</v>
      </c>
      <c r="D450" s="5" t="s">
        <v>145</v>
      </c>
      <c r="E450" s="5" t="s">
        <v>1631</v>
      </c>
      <c r="F450" s="5" t="s">
        <v>1632</v>
      </c>
      <c r="G450" s="5" t="s">
        <v>880</v>
      </c>
      <c r="H450" s="5" t="s">
        <v>850</v>
      </c>
      <c r="I450" s="5" t="s">
        <v>980</v>
      </c>
      <c r="J450" s="5" t="s">
        <v>12</v>
      </c>
      <c r="K450" s="5" t="s">
        <v>8</v>
      </c>
    </row>
    <row r="451" spans="1:11" ht="28.8">
      <c r="A451" s="92">
        <f>_xlfn.XLOOKUP(B451,' Lista de Entrevistas'!B:B,' Lista de Entrevistas'!A:A,"")</f>
        <v>61</v>
      </c>
      <c r="B451" s="5" t="s">
        <v>584</v>
      </c>
      <c r="C451" s="5" t="s">
        <v>1032</v>
      </c>
      <c r="D451" s="5" t="s">
        <v>145</v>
      </c>
      <c r="E451" s="5" t="s">
        <v>1633</v>
      </c>
      <c r="F451" s="5" t="s">
        <v>1634</v>
      </c>
      <c r="G451" s="5" t="s">
        <v>876</v>
      </c>
      <c r="H451" s="5" t="s">
        <v>890</v>
      </c>
      <c r="I451" s="5" t="s">
        <v>982</v>
      </c>
      <c r="J451" s="5" t="s">
        <v>17</v>
      </c>
      <c r="K451" s="5" t="s">
        <v>8</v>
      </c>
    </row>
    <row r="452" spans="1:11" ht="28.8">
      <c r="A452" s="92">
        <f>_xlfn.XLOOKUP(B452,' Lista de Entrevistas'!B:B,' Lista de Entrevistas'!A:A,"")</f>
        <v>61</v>
      </c>
      <c r="B452" s="5" t="s">
        <v>584</v>
      </c>
      <c r="C452" s="5" t="s">
        <v>1032</v>
      </c>
      <c r="D452" s="5" t="s">
        <v>145</v>
      </c>
      <c r="E452" s="5" t="s">
        <v>1633</v>
      </c>
      <c r="F452" s="5" t="s">
        <v>1634</v>
      </c>
      <c r="G452" s="5" t="s">
        <v>876</v>
      </c>
      <c r="H452" s="5" t="s">
        <v>890</v>
      </c>
      <c r="I452" s="5" t="s">
        <v>986</v>
      </c>
      <c r="J452" s="5" t="s">
        <v>17</v>
      </c>
      <c r="K452" s="5" t="s">
        <v>8</v>
      </c>
    </row>
    <row r="453" spans="1:11" ht="28.8">
      <c r="A453" s="92">
        <f>_xlfn.XLOOKUP(B453,' Lista de Entrevistas'!B:B,' Lista de Entrevistas'!A:A,"")</f>
        <v>61</v>
      </c>
      <c r="B453" s="5" t="s">
        <v>584</v>
      </c>
      <c r="C453" s="5" t="s">
        <v>1032</v>
      </c>
      <c r="D453" s="5" t="s">
        <v>145</v>
      </c>
      <c r="E453" s="5" t="s">
        <v>1635</v>
      </c>
      <c r="F453" s="5" t="s">
        <v>1636</v>
      </c>
      <c r="G453" s="5" t="s">
        <v>858</v>
      </c>
      <c r="H453" s="5" t="s">
        <v>854</v>
      </c>
      <c r="I453" s="5" t="s">
        <v>984</v>
      </c>
      <c r="J453" s="5" t="s">
        <v>21</v>
      </c>
      <c r="K453" s="5" t="s">
        <v>8</v>
      </c>
    </row>
    <row r="454" spans="1:11" ht="28.8">
      <c r="A454" s="92">
        <f>_xlfn.XLOOKUP(B454,' Lista de Entrevistas'!B:B,' Lista de Entrevistas'!A:A,"")</f>
        <v>61</v>
      </c>
      <c r="B454" s="5" t="s">
        <v>584</v>
      </c>
      <c r="C454" s="5" t="s">
        <v>1032</v>
      </c>
      <c r="D454" s="5" t="s">
        <v>145</v>
      </c>
      <c r="E454" s="5" t="s">
        <v>1635</v>
      </c>
      <c r="F454" s="5" t="s">
        <v>1636</v>
      </c>
      <c r="G454" s="5" t="s">
        <v>858</v>
      </c>
      <c r="H454" s="5" t="s">
        <v>854</v>
      </c>
      <c r="I454" s="5" t="s">
        <v>982</v>
      </c>
      <c r="J454" s="5" t="s">
        <v>21</v>
      </c>
      <c r="K454" s="5" t="s">
        <v>8</v>
      </c>
    </row>
    <row r="455" spans="1:11" ht="28.8">
      <c r="A455" s="92">
        <f>_xlfn.XLOOKUP(B455,' Lista de Entrevistas'!B:B,' Lista de Entrevistas'!A:A,"")</f>
        <v>61</v>
      </c>
      <c r="B455" s="5" t="s">
        <v>584</v>
      </c>
      <c r="C455" s="5" t="s">
        <v>1032</v>
      </c>
      <c r="D455" s="5" t="s">
        <v>145</v>
      </c>
      <c r="E455" s="5" t="s">
        <v>1637</v>
      </c>
      <c r="F455" s="5" t="s">
        <v>1638</v>
      </c>
      <c r="G455" s="5" t="s">
        <v>873</v>
      </c>
      <c r="H455" s="5" t="s">
        <v>890</v>
      </c>
      <c r="I455" s="5" t="s">
        <v>984</v>
      </c>
      <c r="J455" s="5" t="s">
        <v>17</v>
      </c>
      <c r="K455" s="5" t="s">
        <v>8</v>
      </c>
    </row>
    <row r="456" spans="1:11" ht="43.2">
      <c r="A456" s="92">
        <f>_xlfn.XLOOKUP(B456,' Lista de Entrevistas'!B:B,' Lista de Entrevistas'!A:A,"")</f>
        <v>61</v>
      </c>
      <c r="B456" s="5" t="s">
        <v>584</v>
      </c>
      <c r="C456" s="5" t="s">
        <v>1032</v>
      </c>
      <c r="D456" s="5" t="s">
        <v>145</v>
      </c>
      <c r="E456" s="5" t="s">
        <v>1639</v>
      </c>
      <c r="F456" s="5" t="s">
        <v>1640</v>
      </c>
      <c r="G456" s="5" t="s">
        <v>893</v>
      </c>
      <c r="H456" s="5" t="s">
        <v>890</v>
      </c>
      <c r="I456" s="5" t="s">
        <v>986</v>
      </c>
      <c r="J456" s="5" t="s">
        <v>17</v>
      </c>
      <c r="K456" s="5" t="s">
        <v>8</v>
      </c>
    </row>
    <row r="457" spans="1:11" ht="28.8">
      <c r="A457" s="92">
        <f>_xlfn.XLOOKUP(B457,' Lista de Entrevistas'!B:B,' Lista de Entrevistas'!A:A,"")</f>
        <v>61</v>
      </c>
      <c r="B457" s="5" t="s">
        <v>584</v>
      </c>
      <c r="C457" s="5" t="s">
        <v>1032</v>
      </c>
      <c r="D457" s="5" t="s">
        <v>145</v>
      </c>
      <c r="E457" s="5" t="s">
        <v>1641</v>
      </c>
      <c r="F457" s="5" t="s">
        <v>1642</v>
      </c>
      <c r="G457" s="5" t="s">
        <v>879</v>
      </c>
      <c r="H457" s="5" t="s">
        <v>850</v>
      </c>
      <c r="I457" s="5" t="s">
        <v>984</v>
      </c>
      <c r="J457" s="5" t="s">
        <v>17</v>
      </c>
      <c r="K457" s="5" t="s">
        <v>8</v>
      </c>
    </row>
    <row r="458" spans="1:11" ht="28.8">
      <c r="A458" s="92">
        <f>_xlfn.XLOOKUP(B458,' Lista de Entrevistas'!B:B,' Lista de Entrevistas'!A:A,"")</f>
        <v>61</v>
      </c>
      <c r="B458" s="5" t="s">
        <v>584</v>
      </c>
      <c r="C458" s="5" t="s">
        <v>1032</v>
      </c>
      <c r="D458" s="5" t="s">
        <v>145</v>
      </c>
      <c r="E458" s="5" t="s">
        <v>1641</v>
      </c>
      <c r="F458" s="5" t="s">
        <v>1642</v>
      </c>
      <c r="G458" s="5" t="s">
        <v>879</v>
      </c>
      <c r="H458" s="5" t="s">
        <v>850</v>
      </c>
      <c r="I458" s="5" t="s">
        <v>982</v>
      </c>
      <c r="J458" s="5" t="s">
        <v>17</v>
      </c>
      <c r="K458" s="5" t="s">
        <v>8</v>
      </c>
    </row>
    <row r="459" spans="1:11" ht="28.8">
      <c r="A459" s="92">
        <f>_xlfn.XLOOKUP(B459,' Lista de Entrevistas'!B:B,' Lista de Entrevistas'!A:A,"")</f>
        <v>61</v>
      </c>
      <c r="B459" s="5" t="s">
        <v>584</v>
      </c>
      <c r="C459" s="5" t="s">
        <v>1032</v>
      </c>
      <c r="D459" s="5" t="s">
        <v>145</v>
      </c>
      <c r="E459" s="5" t="s">
        <v>1643</v>
      </c>
      <c r="F459" s="5" t="s">
        <v>1644</v>
      </c>
      <c r="G459" s="5" t="s">
        <v>877</v>
      </c>
      <c r="H459" s="5" t="s">
        <v>850</v>
      </c>
      <c r="I459" s="5" t="s">
        <v>982</v>
      </c>
      <c r="J459" s="5" t="s">
        <v>21</v>
      </c>
      <c r="K459" s="5" t="s">
        <v>8</v>
      </c>
    </row>
    <row r="460" spans="1:11" ht="28.8">
      <c r="A460" s="92">
        <f>_xlfn.XLOOKUP(B460,' Lista de Entrevistas'!B:B,' Lista de Entrevistas'!A:A,"")</f>
        <v>61</v>
      </c>
      <c r="B460" s="5" t="s">
        <v>584</v>
      </c>
      <c r="C460" s="5" t="s">
        <v>1032</v>
      </c>
      <c r="D460" s="5" t="s">
        <v>145</v>
      </c>
      <c r="E460" s="5" t="s">
        <v>1643</v>
      </c>
      <c r="F460" s="5" t="s">
        <v>1644</v>
      </c>
      <c r="G460" s="5" t="s">
        <v>877</v>
      </c>
      <c r="H460" s="5" t="s">
        <v>850</v>
      </c>
      <c r="I460" s="5" t="s">
        <v>994</v>
      </c>
      <c r="J460" s="5" t="s">
        <v>21</v>
      </c>
      <c r="K460" s="5" t="s">
        <v>8</v>
      </c>
    </row>
    <row r="461" spans="1:11" ht="28.8">
      <c r="A461" s="92">
        <f>_xlfn.XLOOKUP(B461,' Lista de Entrevistas'!B:B,' Lista de Entrevistas'!A:A,"")</f>
        <v>61</v>
      </c>
      <c r="B461" s="5" t="s">
        <v>584</v>
      </c>
      <c r="C461" s="5" t="s">
        <v>1032</v>
      </c>
      <c r="D461" s="5" t="s">
        <v>145</v>
      </c>
      <c r="E461" s="5" t="s">
        <v>1645</v>
      </c>
      <c r="F461" s="5" t="s">
        <v>1646</v>
      </c>
      <c r="G461" s="5" t="s">
        <v>879</v>
      </c>
      <c r="H461" s="5" t="s">
        <v>850</v>
      </c>
      <c r="I461" s="5" t="s">
        <v>984</v>
      </c>
      <c r="J461" s="5" t="s">
        <v>21</v>
      </c>
      <c r="K461" s="5" t="s">
        <v>8</v>
      </c>
    </row>
    <row r="462" spans="1:11" ht="28.8">
      <c r="A462" s="92">
        <f>_xlfn.XLOOKUP(B462,' Lista de Entrevistas'!B:B,' Lista de Entrevistas'!A:A,"")</f>
        <v>61</v>
      </c>
      <c r="B462" s="5" t="s">
        <v>584</v>
      </c>
      <c r="C462" s="5" t="s">
        <v>1032</v>
      </c>
      <c r="D462" s="5" t="s">
        <v>145</v>
      </c>
      <c r="E462" s="5" t="s">
        <v>1647</v>
      </c>
      <c r="F462" s="5" t="s">
        <v>1648</v>
      </c>
      <c r="G462" s="5" t="s">
        <v>893</v>
      </c>
      <c r="H462" s="5" t="s">
        <v>890</v>
      </c>
      <c r="I462" s="5" t="s">
        <v>982</v>
      </c>
      <c r="J462" s="5" t="s">
        <v>21</v>
      </c>
      <c r="K462" s="5" t="s">
        <v>8</v>
      </c>
    </row>
    <row r="463" spans="1:11" ht="28.8">
      <c r="A463" s="92">
        <f>_xlfn.XLOOKUP(B463,' Lista de Entrevistas'!B:B,' Lista de Entrevistas'!A:A,"")</f>
        <v>61</v>
      </c>
      <c r="B463" s="5" t="s">
        <v>584</v>
      </c>
      <c r="C463" s="5" t="s">
        <v>1032</v>
      </c>
      <c r="D463" s="5" t="s">
        <v>145</v>
      </c>
      <c r="E463" s="5" t="s">
        <v>1649</v>
      </c>
      <c r="F463" s="5" t="s">
        <v>1650</v>
      </c>
      <c r="G463" s="5" t="s">
        <v>863</v>
      </c>
      <c r="H463" s="5" t="s">
        <v>854</v>
      </c>
      <c r="I463" s="5" t="s">
        <v>982</v>
      </c>
      <c r="J463" s="5" t="s">
        <v>17</v>
      </c>
      <c r="K463" s="5" t="s">
        <v>13</v>
      </c>
    </row>
    <row r="464" spans="1:11" ht="28.8">
      <c r="A464" s="92">
        <f>_xlfn.XLOOKUP(B464,' Lista de Entrevistas'!B:B,' Lista de Entrevistas'!A:A,"")</f>
        <v>61</v>
      </c>
      <c r="B464" s="5" t="s">
        <v>584</v>
      </c>
      <c r="C464" s="5" t="s">
        <v>1032</v>
      </c>
      <c r="D464" s="5" t="s">
        <v>145</v>
      </c>
      <c r="E464" s="5" t="s">
        <v>1651</v>
      </c>
      <c r="F464" s="5" t="s">
        <v>1652</v>
      </c>
      <c r="G464" s="5" t="s">
        <v>863</v>
      </c>
      <c r="H464" s="5" t="s">
        <v>854</v>
      </c>
      <c r="I464" s="5" t="s">
        <v>982</v>
      </c>
      <c r="J464" s="5" t="s">
        <v>17</v>
      </c>
      <c r="K464" s="5" t="s">
        <v>8</v>
      </c>
    </row>
    <row r="465" spans="1:11" ht="43.2">
      <c r="A465" s="92">
        <f>_xlfn.XLOOKUP(B465,' Lista de Entrevistas'!B:B,' Lista de Entrevistas'!A:A,"")</f>
        <v>61</v>
      </c>
      <c r="B465" s="5" t="s">
        <v>584</v>
      </c>
      <c r="C465" s="5" t="s">
        <v>1032</v>
      </c>
      <c r="D465" s="5" t="s">
        <v>145</v>
      </c>
      <c r="E465" s="5" t="s">
        <v>1653</v>
      </c>
      <c r="F465" s="5" t="s">
        <v>1654</v>
      </c>
      <c r="G465" s="5" t="s">
        <v>876</v>
      </c>
      <c r="H465" s="5" t="s">
        <v>890</v>
      </c>
      <c r="I465" s="5" t="s">
        <v>982</v>
      </c>
      <c r="J465" s="5" t="s">
        <v>17</v>
      </c>
      <c r="K465" s="5" t="s">
        <v>8</v>
      </c>
    </row>
    <row r="466" spans="1:11" ht="28.8">
      <c r="A466" s="92">
        <f>_xlfn.XLOOKUP(B466,' Lista de Entrevistas'!B:B,' Lista de Entrevistas'!A:A,"")</f>
        <v>61</v>
      </c>
      <c r="B466" s="5" t="s">
        <v>584</v>
      </c>
      <c r="C466" s="5" t="s">
        <v>1032</v>
      </c>
      <c r="D466" s="5" t="s">
        <v>145</v>
      </c>
      <c r="E466" s="5" t="s">
        <v>1655</v>
      </c>
      <c r="F466" s="5" t="s">
        <v>1656</v>
      </c>
      <c r="G466" s="5" t="s">
        <v>874</v>
      </c>
      <c r="H466" s="5" t="s">
        <v>890</v>
      </c>
      <c r="I466" s="5" t="s">
        <v>984</v>
      </c>
      <c r="J466" s="5" t="s">
        <v>21</v>
      </c>
      <c r="K466" s="5" t="s">
        <v>8</v>
      </c>
    </row>
    <row r="467" spans="1:11" ht="28.8">
      <c r="A467" s="92">
        <f>_xlfn.XLOOKUP(B467,' Lista de Entrevistas'!B:B,' Lista de Entrevistas'!A:A,"")</f>
        <v>61</v>
      </c>
      <c r="B467" s="5" t="s">
        <v>584</v>
      </c>
      <c r="C467" s="5" t="s">
        <v>1032</v>
      </c>
      <c r="D467" s="5" t="s">
        <v>145</v>
      </c>
      <c r="E467" s="5" t="s">
        <v>1657</v>
      </c>
      <c r="F467" s="5" t="s">
        <v>1658</v>
      </c>
      <c r="G467" s="5" t="s">
        <v>874</v>
      </c>
      <c r="H467" s="5" t="s">
        <v>890</v>
      </c>
      <c r="I467" s="5" t="s">
        <v>982</v>
      </c>
      <c r="J467" s="5" t="s">
        <v>12</v>
      </c>
      <c r="K467" s="5" t="s">
        <v>8</v>
      </c>
    </row>
    <row r="468" spans="1:11" ht="28.8">
      <c r="A468" s="92">
        <f>_xlfn.XLOOKUP(B468,' Lista de Entrevistas'!B:B,' Lista de Entrevistas'!A:A,"")</f>
        <v>61</v>
      </c>
      <c r="B468" s="5" t="s">
        <v>584</v>
      </c>
      <c r="C468" s="5" t="s">
        <v>1032</v>
      </c>
      <c r="D468" s="5" t="s">
        <v>145</v>
      </c>
      <c r="E468" s="5" t="s">
        <v>1659</v>
      </c>
      <c r="F468" s="5" t="s">
        <v>1660</v>
      </c>
      <c r="G468" s="5" t="s">
        <v>858</v>
      </c>
      <c r="H468" s="5" t="s">
        <v>854</v>
      </c>
      <c r="I468" s="5" t="s">
        <v>986</v>
      </c>
      <c r="J468" s="5" t="s">
        <v>21</v>
      </c>
      <c r="K468" s="5" t="s">
        <v>8</v>
      </c>
    </row>
    <row r="469" spans="1:11" ht="28.8">
      <c r="A469" s="92">
        <f>_xlfn.XLOOKUP(B469,' Lista de Entrevistas'!B:B,' Lista de Entrevistas'!A:A,"")</f>
        <v>61</v>
      </c>
      <c r="B469" s="5" t="s">
        <v>584</v>
      </c>
      <c r="C469" s="5" t="s">
        <v>1032</v>
      </c>
      <c r="D469" s="5" t="s">
        <v>145</v>
      </c>
      <c r="E469" s="5" t="s">
        <v>1661</v>
      </c>
      <c r="F469" s="5" t="s">
        <v>1662</v>
      </c>
      <c r="G469" s="5" t="s">
        <v>859</v>
      </c>
      <c r="H469" s="5" t="s">
        <v>854</v>
      </c>
      <c r="I469" s="5" t="s">
        <v>982</v>
      </c>
      <c r="J469" s="5" t="s">
        <v>21</v>
      </c>
      <c r="K469" s="5" t="s">
        <v>8</v>
      </c>
    </row>
    <row r="470" spans="1:11" ht="28.8">
      <c r="A470" s="92">
        <f>_xlfn.XLOOKUP(B470,' Lista de Entrevistas'!B:B,' Lista de Entrevistas'!A:A,"")</f>
        <v>61</v>
      </c>
      <c r="B470" s="5" t="s">
        <v>584</v>
      </c>
      <c r="C470" s="5" t="s">
        <v>1032</v>
      </c>
      <c r="D470" s="5" t="s">
        <v>145</v>
      </c>
      <c r="E470" s="5" t="s">
        <v>1663</v>
      </c>
      <c r="F470" s="5" t="s">
        <v>1664</v>
      </c>
      <c r="G470" s="5" t="s">
        <v>872</v>
      </c>
      <c r="H470" s="5" t="s">
        <v>890</v>
      </c>
      <c r="I470" s="5" t="s">
        <v>984</v>
      </c>
      <c r="J470" s="5" t="s">
        <v>21</v>
      </c>
      <c r="K470" s="5" t="s">
        <v>8</v>
      </c>
    </row>
    <row r="471" spans="1:11">
      <c r="A471" s="92">
        <f>_xlfn.XLOOKUP(B471,' Lista de Entrevistas'!B:B,' Lista de Entrevistas'!A:A,"")</f>
        <v>62</v>
      </c>
      <c r="B471" t="s">
        <v>472</v>
      </c>
    </row>
    <row r="472" spans="1:11" ht="28.8">
      <c r="A472" s="92">
        <f>_xlfn.XLOOKUP(B472,' Lista de Entrevistas'!B:B,' Lista de Entrevistas'!A:A,"")</f>
        <v>62</v>
      </c>
      <c r="B472" s="5" t="s">
        <v>472</v>
      </c>
      <c r="C472" s="5" t="s">
        <v>1032</v>
      </c>
      <c r="D472" s="5" t="s">
        <v>145</v>
      </c>
      <c r="E472" s="5" t="s">
        <v>1707</v>
      </c>
      <c r="F472" s="5" t="s">
        <v>1708</v>
      </c>
      <c r="G472" s="5" t="s">
        <v>886</v>
      </c>
      <c r="H472" s="5" t="s">
        <v>28</v>
      </c>
      <c r="I472" s="5" t="s">
        <v>994</v>
      </c>
      <c r="J472" s="5" t="s">
        <v>21</v>
      </c>
      <c r="K472" s="5" t="s">
        <v>8</v>
      </c>
    </row>
    <row r="473" spans="1:11" ht="28.8">
      <c r="A473" s="92">
        <f>_xlfn.XLOOKUP(B473,' Lista de Entrevistas'!B:B,' Lista de Entrevistas'!A:A,"")</f>
        <v>62</v>
      </c>
      <c r="B473" s="5" t="s">
        <v>472</v>
      </c>
      <c r="C473" s="5" t="s">
        <v>1032</v>
      </c>
      <c r="D473" s="5" t="s">
        <v>145</v>
      </c>
      <c r="E473" s="5" t="s">
        <v>1709</v>
      </c>
      <c r="F473" s="5" t="s">
        <v>1710</v>
      </c>
      <c r="G473" s="5" t="s">
        <v>863</v>
      </c>
      <c r="H473" s="5" t="s">
        <v>854</v>
      </c>
      <c r="I473" s="5" t="s">
        <v>982</v>
      </c>
      <c r="J473" s="5" t="s">
        <v>17</v>
      </c>
      <c r="K473" s="5" t="s">
        <v>8</v>
      </c>
    </row>
    <row r="474" spans="1:11" ht="28.8">
      <c r="A474" s="92">
        <f>_xlfn.XLOOKUP(B474,' Lista de Entrevistas'!B:B,' Lista de Entrevistas'!A:A,"")</f>
        <v>62</v>
      </c>
      <c r="B474" s="5" t="s">
        <v>472</v>
      </c>
      <c r="C474" s="5" t="s">
        <v>1032</v>
      </c>
      <c r="D474" s="5" t="s">
        <v>145</v>
      </c>
      <c r="E474" s="5" t="s">
        <v>1711</v>
      </c>
      <c r="F474" s="5" t="s">
        <v>1712</v>
      </c>
      <c r="G474" s="5" t="s">
        <v>878</v>
      </c>
      <c r="H474" s="5" t="s">
        <v>850</v>
      </c>
      <c r="I474" s="5" t="s">
        <v>994</v>
      </c>
      <c r="J474" s="5" t="s">
        <v>21</v>
      </c>
      <c r="K474" s="5" t="s">
        <v>8</v>
      </c>
    </row>
    <row r="475" spans="1:11" ht="28.8">
      <c r="A475" s="92">
        <f>_xlfn.XLOOKUP(B475,' Lista de Entrevistas'!B:B,' Lista de Entrevistas'!A:A,"")</f>
        <v>62</v>
      </c>
      <c r="B475" s="5" t="s">
        <v>472</v>
      </c>
      <c r="C475" s="5" t="s">
        <v>1032</v>
      </c>
      <c r="D475" s="5" t="s">
        <v>145</v>
      </c>
      <c r="E475" s="5" t="s">
        <v>1713</v>
      </c>
      <c r="F475" s="5" t="s">
        <v>1714</v>
      </c>
      <c r="G475" s="5" t="s">
        <v>1612</v>
      </c>
      <c r="H475" s="5" t="s">
        <v>405</v>
      </c>
      <c r="I475" s="5" t="s">
        <v>986</v>
      </c>
      <c r="J475" s="5" t="s">
        <v>17</v>
      </c>
      <c r="K475" s="5" t="s">
        <v>8</v>
      </c>
    </row>
    <row r="476" spans="1:11" ht="28.8">
      <c r="A476" s="92">
        <f>_xlfn.XLOOKUP(B476,' Lista de Entrevistas'!B:B,' Lista de Entrevistas'!A:A,"")</f>
        <v>62</v>
      </c>
      <c r="B476" s="5" t="s">
        <v>472</v>
      </c>
      <c r="C476" s="5" t="s">
        <v>1032</v>
      </c>
      <c r="D476" s="5" t="s">
        <v>145</v>
      </c>
      <c r="E476" s="5" t="s">
        <v>1715</v>
      </c>
      <c r="F476" s="5" t="s">
        <v>1716</v>
      </c>
      <c r="G476" s="5" t="s">
        <v>886</v>
      </c>
      <c r="H476" s="5" t="s">
        <v>28</v>
      </c>
      <c r="I476" s="5" t="s">
        <v>994</v>
      </c>
      <c r="J476" s="5" t="s">
        <v>21</v>
      </c>
      <c r="K476" s="5" t="s">
        <v>8</v>
      </c>
    </row>
    <row r="477" spans="1:11" ht="28.8">
      <c r="A477" s="92">
        <f>_xlfn.XLOOKUP(B477,' Lista de Entrevistas'!B:B,' Lista de Entrevistas'!A:A,"")</f>
        <v>62</v>
      </c>
      <c r="B477" s="5" t="s">
        <v>472</v>
      </c>
      <c r="C477" s="5" t="s">
        <v>1032</v>
      </c>
      <c r="D477" s="5" t="s">
        <v>145</v>
      </c>
      <c r="E477" s="5" t="s">
        <v>1717</v>
      </c>
      <c r="F477" s="5" t="s">
        <v>1718</v>
      </c>
      <c r="G477" s="5" t="s">
        <v>862</v>
      </c>
      <c r="H477" s="5" t="s">
        <v>854</v>
      </c>
      <c r="I477" s="5" t="s">
        <v>982</v>
      </c>
      <c r="J477" s="5" t="s">
        <v>21</v>
      </c>
      <c r="K477" s="5" t="s">
        <v>8</v>
      </c>
    </row>
    <row r="478" spans="1:11" ht="28.8">
      <c r="A478" s="92">
        <f>_xlfn.XLOOKUP(B478,' Lista de Entrevistas'!B:B,' Lista de Entrevistas'!A:A,"")</f>
        <v>62</v>
      </c>
      <c r="B478" s="5" t="s">
        <v>472</v>
      </c>
      <c r="C478" s="5" t="s">
        <v>1032</v>
      </c>
      <c r="D478" s="5" t="s">
        <v>145</v>
      </c>
      <c r="E478" s="5" t="s">
        <v>1719</v>
      </c>
      <c r="F478" s="5" t="s">
        <v>1720</v>
      </c>
      <c r="G478" s="5" t="s">
        <v>1699</v>
      </c>
      <c r="H478" s="5" t="s">
        <v>28</v>
      </c>
      <c r="I478" s="5" t="s">
        <v>986</v>
      </c>
      <c r="J478" s="5" t="s">
        <v>21</v>
      </c>
      <c r="K478" s="5" t="s">
        <v>8</v>
      </c>
    </row>
    <row r="479" spans="1:11" ht="28.8">
      <c r="A479" s="92">
        <f>_xlfn.XLOOKUP(B479,' Lista de Entrevistas'!B:B,' Lista de Entrevistas'!A:A,"")</f>
        <v>62</v>
      </c>
      <c r="B479" s="5" t="s">
        <v>472</v>
      </c>
      <c r="C479" s="5" t="s">
        <v>1032</v>
      </c>
      <c r="D479" s="5" t="s">
        <v>145</v>
      </c>
      <c r="E479" s="5" t="s">
        <v>1721</v>
      </c>
      <c r="F479" s="5" t="s">
        <v>1722</v>
      </c>
      <c r="G479" s="5" t="s">
        <v>1723</v>
      </c>
      <c r="H479" s="5" t="s">
        <v>28</v>
      </c>
      <c r="I479" s="5" t="s">
        <v>988</v>
      </c>
      <c r="J479" s="5" t="s">
        <v>21</v>
      </c>
      <c r="K479" s="5" t="s">
        <v>8</v>
      </c>
    </row>
    <row r="480" spans="1:11" ht="28.8">
      <c r="A480" s="92">
        <f>_xlfn.XLOOKUP(B480,' Lista de Entrevistas'!B:B,' Lista de Entrevistas'!A:A,"")</f>
        <v>62</v>
      </c>
      <c r="B480" s="5" t="s">
        <v>472</v>
      </c>
      <c r="C480" s="5" t="s">
        <v>1032</v>
      </c>
      <c r="D480" s="5" t="s">
        <v>145</v>
      </c>
      <c r="E480" s="5" t="s">
        <v>1724</v>
      </c>
      <c r="F480" s="5" t="s">
        <v>1725</v>
      </c>
      <c r="G480" s="5" t="s">
        <v>862</v>
      </c>
      <c r="H480" s="5" t="s">
        <v>854</v>
      </c>
      <c r="I480" s="5" t="s">
        <v>982</v>
      </c>
      <c r="J480" s="5" t="s">
        <v>21</v>
      </c>
      <c r="K480" s="5" t="s">
        <v>8</v>
      </c>
    </row>
    <row r="481" spans="1:11" ht="28.8">
      <c r="A481" s="92">
        <f>_xlfn.XLOOKUP(B481,' Lista de Entrevistas'!B:B,' Lista de Entrevistas'!A:A,"")</f>
        <v>62</v>
      </c>
      <c r="B481" s="5" t="s">
        <v>472</v>
      </c>
      <c r="C481" s="5" t="s">
        <v>1032</v>
      </c>
      <c r="D481" s="5" t="s">
        <v>145</v>
      </c>
      <c r="E481" s="5" t="s">
        <v>1726</v>
      </c>
      <c r="F481" s="5" t="s">
        <v>1727</v>
      </c>
      <c r="G481" s="5" t="s">
        <v>875</v>
      </c>
      <c r="H481" s="5" t="s">
        <v>890</v>
      </c>
      <c r="I481" s="5" t="s">
        <v>984</v>
      </c>
      <c r="J481" s="5" t="s">
        <v>17</v>
      </c>
      <c r="K481" s="5" t="s">
        <v>8</v>
      </c>
    </row>
    <row r="482" spans="1:11" ht="28.8">
      <c r="A482" s="92">
        <f>_xlfn.XLOOKUP(B482,' Lista de Entrevistas'!B:B,' Lista de Entrevistas'!A:A,"")</f>
        <v>62</v>
      </c>
      <c r="B482" s="5" t="s">
        <v>472</v>
      </c>
      <c r="C482" s="5" t="s">
        <v>1032</v>
      </c>
      <c r="D482" s="5" t="s">
        <v>145</v>
      </c>
      <c r="E482" s="5" t="s">
        <v>1728</v>
      </c>
      <c r="F482" s="5" t="s">
        <v>1729</v>
      </c>
      <c r="G482" s="5" t="s">
        <v>891</v>
      </c>
      <c r="H482" s="5" t="s">
        <v>890</v>
      </c>
      <c r="I482" s="5" t="s">
        <v>984</v>
      </c>
      <c r="J482" s="5" t="s">
        <v>17</v>
      </c>
      <c r="K482" s="5" t="s">
        <v>8</v>
      </c>
    </row>
    <row r="483" spans="1:11">
      <c r="A483" s="92">
        <f>_xlfn.XLOOKUP(B483,' Lista de Entrevistas'!B:B,' Lista de Entrevistas'!A:A,"")</f>
        <v>63</v>
      </c>
      <c r="B483" t="s">
        <v>532</v>
      </c>
    </row>
    <row r="484" spans="1:11" ht="28.8">
      <c r="A484" s="92">
        <f>_xlfn.XLOOKUP(B484,' Lista de Entrevistas'!B:B,' Lista de Entrevistas'!A:A,"")</f>
        <v>63</v>
      </c>
      <c r="B484" s="5" t="s">
        <v>532</v>
      </c>
      <c r="C484" s="5" t="s">
        <v>1032</v>
      </c>
      <c r="D484" s="5" t="s">
        <v>145</v>
      </c>
      <c r="E484" s="5" t="s">
        <v>1665</v>
      </c>
      <c r="F484" s="5" t="s">
        <v>1666</v>
      </c>
      <c r="G484" s="5" t="s">
        <v>891</v>
      </c>
      <c r="H484" s="5" t="s">
        <v>890</v>
      </c>
      <c r="I484" s="5" t="s">
        <v>994</v>
      </c>
      <c r="J484" s="5" t="s">
        <v>17</v>
      </c>
      <c r="K484" s="5" t="s">
        <v>8</v>
      </c>
    </row>
    <row r="485" spans="1:11" ht="28.8">
      <c r="A485" s="92">
        <f>_xlfn.XLOOKUP(B485,' Lista de Entrevistas'!B:B,' Lista de Entrevistas'!A:A,"")</f>
        <v>63</v>
      </c>
      <c r="B485" s="5" t="s">
        <v>532</v>
      </c>
      <c r="C485" s="5" t="s">
        <v>1032</v>
      </c>
      <c r="D485" s="5" t="s">
        <v>145</v>
      </c>
      <c r="E485" s="5" t="s">
        <v>1667</v>
      </c>
      <c r="F485" s="5" t="s">
        <v>1668</v>
      </c>
      <c r="G485" s="5" t="s">
        <v>858</v>
      </c>
      <c r="H485" s="5" t="s">
        <v>854</v>
      </c>
      <c r="I485" s="5" t="s">
        <v>986</v>
      </c>
      <c r="J485" s="5" t="s">
        <v>17</v>
      </c>
      <c r="K485" s="5" t="s">
        <v>8</v>
      </c>
    </row>
    <row r="486" spans="1:11" ht="28.8">
      <c r="A486" s="92">
        <f>_xlfn.XLOOKUP(B486,' Lista de Entrevistas'!B:B,' Lista de Entrevistas'!A:A,"")</f>
        <v>63</v>
      </c>
      <c r="B486" s="5" t="s">
        <v>532</v>
      </c>
      <c r="C486" s="5" t="s">
        <v>1032</v>
      </c>
      <c r="D486" s="5" t="s">
        <v>145</v>
      </c>
      <c r="E486" s="5" t="s">
        <v>1669</v>
      </c>
      <c r="F486" s="5" t="s">
        <v>1670</v>
      </c>
      <c r="G486" s="5" t="s">
        <v>858</v>
      </c>
      <c r="H486" s="5" t="s">
        <v>854</v>
      </c>
      <c r="I486" s="5" t="s">
        <v>984</v>
      </c>
      <c r="J486" s="5" t="s">
        <v>17</v>
      </c>
      <c r="K486" s="5" t="s">
        <v>8</v>
      </c>
    </row>
    <row r="487" spans="1:11" ht="28.8">
      <c r="A487" s="92">
        <f>_xlfn.XLOOKUP(B487,' Lista de Entrevistas'!B:B,' Lista de Entrevistas'!A:A,"")</f>
        <v>63</v>
      </c>
      <c r="B487" s="5" t="s">
        <v>532</v>
      </c>
      <c r="C487" s="5" t="s">
        <v>1032</v>
      </c>
      <c r="D487" s="5" t="s">
        <v>145</v>
      </c>
      <c r="E487" s="5" t="s">
        <v>1671</v>
      </c>
      <c r="F487" s="5" t="s">
        <v>1672</v>
      </c>
      <c r="G487" s="5" t="s">
        <v>1606</v>
      </c>
      <c r="H487" s="5" t="s">
        <v>890</v>
      </c>
      <c r="I487" s="5" t="s">
        <v>986</v>
      </c>
      <c r="J487" s="5" t="s">
        <v>17</v>
      </c>
      <c r="K487" s="5" t="s">
        <v>8</v>
      </c>
    </row>
    <row r="488" spans="1:11" ht="28.8">
      <c r="A488" s="92">
        <f>_xlfn.XLOOKUP(B488,' Lista de Entrevistas'!B:B,' Lista de Entrevistas'!A:A,"")</f>
        <v>63</v>
      </c>
      <c r="B488" s="5" t="s">
        <v>532</v>
      </c>
      <c r="C488" s="5" t="s">
        <v>1032</v>
      </c>
      <c r="D488" s="5" t="s">
        <v>145</v>
      </c>
      <c r="E488" s="5" t="s">
        <v>1673</v>
      </c>
      <c r="F488" s="5" t="s">
        <v>1674</v>
      </c>
      <c r="G488" s="5" t="s">
        <v>884</v>
      </c>
      <c r="H488" s="5" t="s">
        <v>28</v>
      </c>
      <c r="I488" s="5" t="s">
        <v>994</v>
      </c>
      <c r="J488" s="5" t="s">
        <v>21</v>
      </c>
      <c r="K488" s="5" t="s">
        <v>8</v>
      </c>
    </row>
    <row r="489" spans="1:11" ht="28.8">
      <c r="A489" s="92">
        <f>_xlfn.XLOOKUP(B489,' Lista de Entrevistas'!B:B,' Lista de Entrevistas'!A:A,"")</f>
        <v>63</v>
      </c>
      <c r="B489" s="5" t="s">
        <v>532</v>
      </c>
      <c r="C489" s="5" t="s">
        <v>1032</v>
      </c>
      <c r="D489" s="5" t="s">
        <v>145</v>
      </c>
      <c r="E489" s="5" t="s">
        <v>1675</v>
      </c>
      <c r="F489" s="5" t="s">
        <v>1676</v>
      </c>
      <c r="G489" s="5" t="s">
        <v>886</v>
      </c>
      <c r="H489" s="5" t="s">
        <v>28</v>
      </c>
      <c r="I489" s="5" t="s">
        <v>988</v>
      </c>
      <c r="J489" s="5" t="s">
        <v>21</v>
      </c>
      <c r="K489" s="5" t="s">
        <v>8</v>
      </c>
    </row>
    <row r="490" spans="1:11" ht="28.8">
      <c r="A490" s="92">
        <f>_xlfn.XLOOKUP(B490,' Lista de Entrevistas'!B:B,' Lista de Entrevistas'!A:A,"")</f>
        <v>63</v>
      </c>
      <c r="B490" s="5" t="s">
        <v>532</v>
      </c>
      <c r="C490" s="5" t="s">
        <v>1032</v>
      </c>
      <c r="D490" s="5" t="s">
        <v>145</v>
      </c>
      <c r="E490" s="5" t="s">
        <v>1677</v>
      </c>
      <c r="F490" s="5" t="s">
        <v>1678</v>
      </c>
      <c r="G490" s="5" t="s">
        <v>877</v>
      </c>
      <c r="H490" s="5" t="s">
        <v>850</v>
      </c>
      <c r="I490" s="5" t="s">
        <v>984</v>
      </c>
      <c r="J490" s="5" t="s">
        <v>21</v>
      </c>
      <c r="K490" s="5" t="s">
        <v>8</v>
      </c>
    </row>
    <row r="491" spans="1:11" ht="28.8">
      <c r="A491" s="92">
        <f>_xlfn.XLOOKUP(B491,' Lista de Entrevistas'!B:B,' Lista de Entrevistas'!A:A,"")</f>
        <v>63</v>
      </c>
      <c r="B491" s="5" t="s">
        <v>532</v>
      </c>
      <c r="C491" s="5" t="s">
        <v>1032</v>
      </c>
      <c r="D491" s="5" t="s">
        <v>145</v>
      </c>
      <c r="E491" s="5" t="s">
        <v>1679</v>
      </c>
      <c r="F491" s="5" t="s">
        <v>1680</v>
      </c>
      <c r="G491" s="5" t="s">
        <v>877</v>
      </c>
      <c r="H491" s="5" t="s">
        <v>850</v>
      </c>
      <c r="I491" s="5" t="s">
        <v>986</v>
      </c>
      <c r="J491" s="5" t="s">
        <v>21</v>
      </c>
      <c r="K491" s="5" t="s">
        <v>8</v>
      </c>
    </row>
    <row r="492" spans="1:11" ht="28.8">
      <c r="A492" s="92">
        <f>_xlfn.XLOOKUP(B492,' Lista de Entrevistas'!B:B,' Lista de Entrevistas'!A:A,"")</f>
        <v>63</v>
      </c>
      <c r="B492" s="5" t="s">
        <v>532</v>
      </c>
      <c r="C492" s="5" t="s">
        <v>1032</v>
      </c>
      <c r="D492" s="5" t="s">
        <v>145</v>
      </c>
      <c r="E492" s="5" t="s">
        <v>1681</v>
      </c>
      <c r="F492" s="5" t="s">
        <v>1682</v>
      </c>
      <c r="G492" s="5" t="s">
        <v>1612</v>
      </c>
      <c r="H492" s="5" t="s">
        <v>405</v>
      </c>
      <c r="I492" s="5" t="s">
        <v>982</v>
      </c>
      <c r="J492" s="5" t="s">
        <v>21</v>
      </c>
      <c r="K492" s="5" t="s">
        <v>8</v>
      </c>
    </row>
    <row r="493" spans="1:11" ht="28.8">
      <c r="A493" s="92">
        <f>_xlfn.XLOOKUP(B493,' Lista de Entrevistas'!B:B,' Lista de Entrevistas'!A:A,"")</f>
        <v>63</v>
      </c>
      <c r="B493" s="5" t="s">
        <v>532</v>
      </c>
      <c r="C493" s="5" t="s">
        <v>1032</v>
      </c>
      <c r="D493" s="5" t="s">
        <v>145</v>
      </c>
      <c r="E493" s="5" t="s">
        <v>1683</v>
      </c>
      <c r="F493" s="5" t="s">
        <v>1684</v>
      </c>
      <c r="G493" s="5" t="s">
        <v>1612</v>
      </c>
      <c r="H493" s="5" t="s">
        <v>405</v>
      </c>
      <c r="I493" s="5" t="s">
        <v>984</v>
      </c>
      <c r="J493" s="5" t="s">
        <v>21</v>
      </c>
      <c r="K493" s="5" t="s">
        <v>8</v>
      </c>
    </row>
    <row r="494" spans="1:11" ht="28.8">
      <c r="A494" s="92">
        <f>_xlfn.XLOOKUP(B494,' Lista de Entrevistas'!B:B,' Lista de Entrevistas'!A:A,"")</f>
        <v>63</v>
      </c>
      <c r="B494" s="5" t="s">
        <v>532</v>
      </c>
      <c r="C494" s="5" t="s">
        <v>1032</v>
      </c>
      <c r="D494" s="5" t="s">
        <v>145</v>
      </c>
      <c r="E494" s="5" t="s">
        <v>1685</v>
      </c>
      <c r="F494" s="5" t="s">
        <v>1686</v>
      </c>
      <c r="G494" s="5" t="s">
        <v>875</v>
      </c>
      <c r="H494" s="5" t="s">
        <v>890</v>
      </c>
      <c r="I494" s="5" t="s">
        <v>984</v>
      </c>
      <c r="J494" s="5" t="s">
        <v>17</v>
      </c>
      <c r="K494" s="5" t="s">
        <v>8</v>
      </c>
    </row>
    <row r="495" spans="1:11" ht="28.8">
      <c r="A495" s="92">
        <f>_xlfn.XLOOKUP(B495,' Lista de Entrevistas'!B:B,' Lista de Entrevistas'!A:A,"")</f>
        <v>63</v>
      </c>
      <c r="B495" s="5" t="s">
        <v>532</v>
      </c>
      <c r="C495" s="5" t="s">
        <v>1032</v>
      </c>
      <c r="D495" s="5" t="s">
        <v>145</v>
      </c>
      <c r="E495" s="5" t="s">
        <v>1687</v>
      </c>
      <c r="F495" s="5" t="s">
        <v>1688</v>
      </c>
      <c r="G495" s="5" t="s">
        <v>1606</v>
      </c>
      <c r="H495" s="5" t="s">
        <v>890</v>
      </c>
      <c r="I495" s="5" t="s">
        <v>986</v>
      </c>
      <c r="J495" s="5" t="s">
        <v>21</v>
      </c>
      <c r="K495" s="5" t="s">
        <v>8</v>
      </c>
    </row>
    <row r="496" spans="1:11" ht="28.8">
      <c r="A496" s="92">
        <f>_xlfn.XLOOKUP(B496,' Lista de Entrevistas'!B:B,' Lista de Entrevistas'!A:A,"")</f>
        <v>63</v>
      </c>
      <c r="B496" s="5" t="s">
        <v>532</v>
      </c>
      <c r="C496" s="5" t="s">
        <v>1032</v>
      </c>
      <c r="D496" s="5" t="s">
        <v>145</v>
      </c>
      <c r="E496" s="5" t="s">
        <v>1689</v>
      </c>
      <c r="F496" s="5" t="s">
        <v>1690</v>
      </c>
      <c r="G496" s="5" t="s">
        <v>885</v>
      </c>
      <c r="H496" s="5" t="s">
        <v>28</v>
      </c>
      <c r="I496" s="5" t="s">
        <v>994</v>
      </c>
      <c r="J496" s="5" t="s">
        <v>21</v>
      </c>
      <c r="K496" s="5" t="s">
        <v>8</v>
      </c>
    </row>
    <row r="497" spans="1:11">
      <c r="A497" s="92">
        <f>_xlfn.XLOOKUP(B497,' Lista de Entrevistas'!B:B,' Lista de Entrevistas'!A:A,"")</f>
        <v>63</v>
      </c>
      <c r="B497" s="5" t="s">
        <v>532</v>
      </c>
      <c r="C497" s="5" t="s">
        <v>1032</v>
      </c>
      <c r="D497" s="5" t="s">
        <v>145</v>
      </c>
      <c r="E497" s="5" t="s">
        <v>1691</v>
      </c>
      <c r="F497" s="5" t="s">
        <v>1692</v>
      </c>
      <c r="G497" s="5" t="s">
        <v>878</v>
      </c>
      <c r="H497" s="5" t="s">
        <v>850</v>
      </c>
      <c r="I497" s="5" t="s">
        <v>986</v>
      </c>
      <c r="J497" s="5" t="s">
        <v>21</v>
      </c>
      <c r="K497" s="5" t="s">
        <v>8</v>
      </c>
    </row>
    <row r="498" spans="1:11" ht="28.8">
      <c r="A498" s="92">
        <f>_xlfn.XLOOKUP(B498,' Lista de Entrevistas'!B:B,' Lista de Entrevistas'!A:A,"")</f>
        <v>63</v>
      </c>
      <c r="B498" s="5" t="s">
        <v>532</v>
      </c>
      <c r="C498" s="5" t="s">
        <v>1032</v>
      </c>
      <c r="D498" s="5" t="s">
        <v>145</v>
      </c>
      <c r="E498" s="5" t="s">
        <v>1693</v>
      </c>
      <c r="F498" s="5" t="s">
        <v>1694</v>
      </c>
      <c r="G498" s="5" t="s">
        <v>884</v>
      </c>
      <c r="H498" s="5" t="s">
        <v>28</v>
      </c>
      <c r="I498" s="5" t="s">
        <v>994</v>
      </c>
      <c r="J498" s="5" t="s">
        <v>17</v>
      </c>
      <c r="K498" s="5" t="s">
        <v>8</v>
      </c>
    </row>
    <row r="499" spans="1:11" ht="28.8">
      <c r="A499" s="92">
        <f>_xlfn.XLOOKUP(B499,' Lista de Entrevistas'!B:B,' Lista de Entrevistas'!A:A,"")</f>
        <v>63</v>
      </c>
      <c r="B499" s="5" t="s">
        <v>532</v>
      </c>
      <c r="C499" s="5" t="s">
        <v>1032</v>
      </c>
      <c r="D499" s="5" t="s">
        <v>145</v>
      </c>
      <c r="E499" s="5" t="s">
        <v>1695</v>
      </c>
      <c r="F499" s="5" t="s">
        <v>1696</v>
      </c>
      <c r="G499" s="5" t="s">
        <v>886</v>
      </c>
      <c r="H499" s="5" t="s">
        <v>28</v>
      </c>
      <c r="I499" s="5" t="s">
        <v>994</v>
      </c>
      <c r="J499" s="5" t="s">
        <v>17</v>
      </c>
      <c r="K499" s="5" t="s">
        <v>8</v>
      </c>
    </row>
    <row r="500" spans="1:11" ht="28.8">
      <c r="A500" s="92">
        <f>_xlfn.XLOOKUP(B500,' Lista de Entrevistas'!B:B,' Lista de Entrevistas'!A:A,"")</f>
        <v>63</v>
      </c>
      <c r="B500" s="5" t="s">
        <v>532</v>
      </c>
      <c r="C500" s="5" t="s">
        <v>1032</v>
      </c>
      <c r="D500" s="5" t="s">
        <v>145</v>
      </c>
      <c r="E500" s="5" t="s">
        <v>1697</v>
      </c>
      <c r="F500" s="5" t="s">
        <v>1698</v>
      </c>
      <c r="G500" s="5" t="s">
        <v>1699</v>
      </c>
      <c r="H500" s="5" t="s">
        <v>28</v>
      </c>
      <c r="I500" s="5" t="s">
        <v>986</v>
      </c>
      <c r="J500" s="5" t="s">
        <v>17</v>
      </c>
      <c r="K500" s="5" t="s">
        <v>8</v>
      </c>
    </row>
    <row r="501" spans="1:11">
      <c r="A501" s="92">
        <f>_xlfn.XLOOKUP(B501,' Lista de Entrevistas'!B:B,' Lista de Entrevistas'!A:A,"")</f>
        <v>63</v>
      </c>
      <c r="B501" s="5" t="s">
        <v>532</v>
      </c>
      <c r="C501" s="5" t="s">
        <v>1032</v>
      </c>
      <c r="D501" s="5" t="s">
        <v>145</v>
      </c>
      <c r="E501" s="5" t="s">
        <v>1700</v>
      </c>
      <c r="F501" s="5" t="s">
        <v>1701</v>
      </c>
      <c r="G501" s="5" t="s">
        <v>862</v>
      </c>
      <c r="H501" s="5" t="s">
        <v>854</v>
      </c>
      <c r="I501" s="5" t="s">
        <v>986</v>
      </c>
      <c r="J501" s="5" t="s">
        <v>21</v>
      </c>
      <c r="K501" s="5" t="s">
        <v>8</v>
      </c>
    </row>
    <row r="502" spans="1:11">
      <c r="A502" s="92">
        <f>_xlfn.XLOOKUP(B502,' Lista de Entrevistas'!B:B,' Lista de Entrevistas'!A:A,"")</f>
        <v>63</v>
      </c>
      <c r="B502" s="5" t="s">
        <v>532</v>
      </c>
      <c r="C502" s="5" t="s">
        <v>1032</v>
      </c>
      <c r="D502" s="5" t="s">
        <v>145</v>
      </c>
      <c r="E502" s="5" t="s">
        <v>1702</v>
      </c>
      <c r="F502" s="5" t="s">
        <v>1703</v>
      </c>
      <c r="G502" s="5" t="s">
        <v>1704</v>
      </c>
      <c r="H502" s="5" t="s">
        <v>854</v>
      </c>
      <c r="I502" s="5" t="s">
        <v>988</v>
      </c>
      <c r="J502" s="5" t="s">
        <v>21</v>
      </c>
      <c r="K502" s="5" t="s">
        <v>8</v>
      </c>
    </row>
    <row r="503" spans="1:11" ht="28.8">
      <c r="A503" s="92">
        <f>_xlfn.XLOOKUP(B503,' Lista de Entrevistas'!B:B,' Lista de Entrevistas'!A:A,"")</f>
        <v>63</v>
      </c>
      <c r="B503" s="5" t="s">
        <v>532</v>
      </c>
      <c r="C503" s="5" t="s">
        <v>1032</v>
      </c>
      <c r="D503" s="5" t="s">
        <v>145</v>
      </c>
      <c r="E503" s="5" t="s">
        <v>1705</v>
      </c>
      <c r="F503" s="5" t="s">
        <v>1706</v>
      </c>
      <c r="G503" s="5" t="s">
        <v>893</v>
      </c>
      <c r="H503" s="5" t="s">
        <v>853</v>
      </c>
      <c r="I503" s="5" t="s">
        <v>986</v>
      </c>
      <c r="J503" s="5" t="s">
        <v>21</v>
      </c>
      <c r="K503" s="5" t="s">
        <v>8</v>
      </c>
    </row>
    <row r="504" spans="1:11">
      <c r="A504" s="92">
        <f>_xlfn.XLOOKUP(B504,' Lista de Entrevistas'!B:B,' Lista de Entrevistas'!A:A,"")</f>
        <v>64</v>
      </c>
      <c r="B504" s="4" t="s">
        <v>468</v>
      </c>
    </row>
    <row r="505" spans="1:11">
      <c r="A505" s="92">
        <f>_xlfn.XLOOKUP(B505,' Lista de Entrevistas'!B:B,' Lista de Entrevistas'!A:A,"")</f>
        <v>65</v>
      </c>
      <c r="B505" t="s">
        <v>1456</v>
      </c>
    </row>
    <row r="506" spans="1:11" ht="43.2">
      <c r="A506" s="92">
        <f>_xlfn.XLOOKUP(B506,' Lista de Entrevistas'!B:B,' Lista de Entrevistas'!A:A,"")</f>
        <v>65</v>
      </c>
      <c r="B506" s="5" t="s">
        <v>1456</v>
      </c>
      <c r="C506" s="5" t="s">
        <v>90</v>
      </c>
      <c r="D506" s="5" t="s">
        <v>121</v>
      </c>
      <c r="E506" s="5" t="s">
        <v>1834</v>
      </c>
      <c r="F506" s="5" t="s">
        <v>1835</v>
      </c>
      <c r="G506" s="5" t="s">
        <v>1836</v>
      </c>
      <c r="H506" s="5" t="s">
        <v>850</v>
      </c>
      <c r="I506" s="5" t="s">
        <v>984</v>
      </c>
      <c r="J506" s="5" t="s">
        <v>12</v>
      </c>
      <c r="K506" s="5" t="s">
        <v>8</v>
      </c>
    </row>
    <row r="507" spans="1:11" ht="28.8">
      <c r="A507" s="92">
        <f>_xlfn.XLOOKUP(B507,' Lista de Entrevistas'!B:B,' Lista de Entrevistas'!A:A,"")</f>
        <v>65</v>
      </c>
      <c r="B507" s="5" t="s">
        <v>1456</v>
      </c>
      <c r="C507" s="5" t="s">
        <v>90</v>
      </c>
      <c r="D507" s="5" t="s">
        <v>121</v>
      </c>
      <c r="E507" s="5" t="s">
        <v>1837</v>
      </c>
      <c r="F507" s="5" t="s">
        <v>1838</v>
      </c>
      <c r="G507" s="5" t="s">
        <v>1839</v>
      </c>
      <c r="H507" s="5" t="s">
        <v>854</v>
      </c>
      <c r="I507" s="5" t="s">
        <v>978</v>
      </c>
      <c r="J507" s="5" t="s">
        <v>12</v>
      </c>
      <c r="K507" s="5" t="s">
        <v>13</v>
      </c>
    </row>
    <row r="508" spans="1:11" ht="28.8">
      <c r="A508" s="92">
        <f>_xlfn.XLOOKUP(B508,' Lista de Entrevistas'!B:B,' Lista de Entrevistas'!A:A,"")</f>
        <v>65</v>
      </c>
      <c r="B508" s="5" t="s">
        <v>1456</v>
      </c>
      <c r="C508" s="5" t="s">
        <v>90</v>
      </c>
      <c r="D508" s="5" t="s">
        <v>121</v>
      </c>
      <c r="E508" s="5" t="s">
        <v>1840</v>
      </c>
      <c r="F508" s="5" t="s">
        <v>1841</v>
      </c>
      <c r="G508" s="5" t="s">
        <v>1782</v>
      </c>
      <c r="H508" s="5" t="s">
        <v>28</v>
      </c>
      <c r="I508" s="5" t="s">
        <v>994</v>
      </c>
      <c r="J508" s="5" t="s">
        <v>12</v>
      </c>
      <c r="K508" s="5" t="s">
        <v>8</v>
      </c>
    </row>
    <row r="509" spans="1:11" ht="28.8">
      <c r="A509" s="92">
        <f>_xlfn.XLOOKUP(B509,' Lista de Entrevistas'!B:B,' Lista de Entrevistas'!A:A,"")</f>
        <v>65</v>
      </c>
      <c r="B509" s="5" t="s">
        <v>1456</v>
      </c>
      <c r="C509" s="5" t="s">
        <v>90</v>
      </c>
      <c r="D509" s="5" t="s">
        <v>121</v>
      </c>
      <c r="E509" s="5" t="s">
        <v>1842</v>
      </c>
      <c r="F509" s="5" t="s">
        <v>1843</v>
      </c>
      <c r="G509" s="5" t="s">
        <v>1782</v>
      </c>
      <c r="H509" s="5" t="s">
        <v>28</v>
      </c>
      <c r="I509" s="5" t="s">
        <v>986</v>
      </c>
      <c r="J509" s="5" t="s">
        <v>12</v>
      </c>
      <c r="K509" s="5" t="s">
        <v>8</v>
      </c>
    </row>
    <row r="510" spans="1:11" ht="28.8">
      <c r="A510" s="92">
        <f>_xlfn.XLOOKUP(B510,' Lista de Entrevistas'!B:B,' Lista de Entrevistas'!A:A,"")</f>
        <v>65</v>
      </c>
      <c r="B510" s="5" t="s">
        <v>1456</v>
      </c>
      <c r="C510" s="5" t="s">
        <v>90</v>
      </c>
      <c r="D510" s="5" t="s">
        <v>121</v>
      </c>
      <c r="E510" s="5" t="s">
        <v>1844</v>
      </c>
      <c r="F510" s="5" t="s">
        <v>1845</v>
      </c>
      <c r="G510" s="5" t="s">
        <v>1807</v>
      </c>
      <c r="H510" s="5" t="s">
        <v>854</v>
      </c>
      <c r="I510" s="5" t="s">
        <v>978</v>
      </c>
      <c r="J510" s="5" t="s">
        <v>12</v>
      </c>
      <c r="K510" s="5" t="s">
        <v>13</v>
      </c>
    </row>
    <row r="511" spans="1:11" ht="28.8">
      <c r="A511" s="92">
        <f>_xlfn.XLOOKUP(B511,' Lista de Entrevistas'!B:B,' Lista de Entrevistas'!A:A,"")</f>
        <v>65</v>
      </c>
      <c r="B511" s="5" t="s">
        <v>1456</v>
      </c>
      <c r="C511" s="5" t="s">
        <v>90</v>
      </c>
      <c r="D511" s="5" t="s">
        <v>121</v>
      </c>
      <c r="E511" s="5" t="s">
        <v>1846</v>
      </c>
      <c r="F511" s="5" t="s">
        <v>1847</v>
      </c>
      <c r="G511" s="5" t="s">
        <v>1791</v>
      </c>
      <c r="H511" s="5" t="s">
        <v>890</v>
      </c>
      <c r="I511" s="5" t="s">
        <v>984</v>
      </c>
      <c r="J511" s="5" t="s">
        <v>17</v>
      </c>
      <c r="K511" s="5" t="s">
        <v>13</v>
      </c>
    </row>
    <row r="512" spans="1:11" ht="28.8">
      <c r="A512" s="92">
        <f>_xlfn.XLOOKUP(B512,' Lista de Entrevistas'!B:B,' Lista de Entrevistas'!A:A,"")</f>
        <v>65</v>
      </c>
      <c r="B512" s="5" t="s">
        <v>1456</v>
      </c>
      <c r="C512" s="5" t="s">
        <v>90</v>
      </c>
      <c r="D512" s="5" t="s">
        <v>121</v>
      </c>
      <c r="E512" s="5" t="s">
        <v>1848</v>
      </c>
      <c r="F512" s="5" t="s">
        <v>1849</v>
      </c>
      <c r="G512" s="5" t="s">
        <v>1785</v>
      </c>
      <c r="H512" s="5" t="s">
        <v>890</v>
      </c>
      <c r="I512" s="5" t="s">
        <v>994</v>
      </c>
      <c r="J512" s="5" t="s">
        <v>17</v>
      </c>
      <c r="K512" s="5" t="s">
        <v>8</v>
      </c>
    </row>
    <row r="513" spans="1:11" ht="28.8">
      <c r="A513" s="92">
        <f>_xlfn.XLOOKUP(B513,' Lista de Entrevistas'!B:B,' Lista de Entrevistas'!A:A,"")</f>
        <v>65</v>
      </c>
      <c r="B513" s="5" t="s">
        <v>1456</v>
      </c>
      <c r="C513" s="5" t="s">
        <v>90</v>
      </c>
      <c r="D513" s="5" t="s">
        <v>121</v>
      </c>
      <c r="E513" s="5" t="s">
        <v>1850</v>
      </c>
      <c r="F513" s="5" t="s">
        <v>1851</v>
      </c>
      <c r="G513" s="5" t="s">
        <v>1852</v>
      </c>
      <c r="H513" s="5" t="s">
        <v>850</v>
      </c>
      <c r="I513" s="5" t="s">
        <v>984</v>
      </c>
      <c r="J513" s="5" t="s">
        <v>17</v>
      </c>
      <c r="K513" s="5" t="s">
        <v>13</v>
      </c>
    </row>
    <row r="514" spans="1:11" ht="28.8">
      <c r="A514" s="92">
        <f>_xlfn.XLOOKUP(B514,' Lista de Entrevistas'!B:B,' Lista de Entrevistas'!A:A,"")</f>
        <v>65</v>
      </c>
      <c r="B514" s="5" t="s">
        <v>1456</v>
      </c>
      <c r="C514" s="5" t="s">
        <v>90</v>
      </c>
      <c r="D514" s="5" t="s">
        <v>121</v>
      </c>
      <c r="E514" s="5" t="s">
        <v>1853</v>
      </c>
      <c r="F514" s="5" t="s">
        <v>1854</v>
      </c>
      <c r="G514" s="5" t="s">
        <v>1855</v>
      </c>
      <c r="H514" s="5" t="s">
        <v>853</v>
      </c>
      <c r="I514" s="5" t="s">
        <v>980</v>
      </c>
      <c r="J514" s="5" t="s">
        <v>12</v>
      </c>
      <c r="K514" s="5" t="s">
        <v>8</v>
      </c>
    </row>
    <row r="515" spans="1:11" ht="28.8">
      <c r="A515" s="92">
        <f>_xlfn.XLOOKUP(B515,' Lista de Entrevistas'!B:B,' Lista de Entrevistas'!A:A,"")</f>
        <v>65</v>
      </c>
      <c r="B515" s="5" t="s">
        <v>1456</v>
      </c>
      <c r="C515" s="5" t="s">
        <v>90</v>
      </c>
      <c r="D515" s="5" t="s">
        <v>121</v>
      </c>
      <c r="E515" s="5" t="s">
        <v>1856</v>
      </c>
      <c r="F515" s="5" t="s">
        <v>1857</v>
      </c>
      <c r="G515" s="5" t="s">
        <v>1785</v>
      </c>
      <c r="H515" s="5" t="s">
        <v>890</v>
      </c>
      <c r="I515" s="5" t="s">
        <v>984</v>
      </c>
      <c r="J515" s="5" t="s">
        <v>17</v>
      </c>
      <c r="K515" s="5" t="s">
        <v>8</v>
      </c>
    </row>
    <row r="516" spans="1:11" ht="43.2">
      <c r="A516" s="92">
        <f>_xlfn.XLOOKUP(B516,' Lista de Entrevistas'!B:B,' Lista de Entrevistas'!A:A,"")</f>
        <v>65</v>
      </c>
      <c r="B516" s="5" t="s">
        <v>1456</v>
      </c>
      <c r="C516" s="5" t="s">
        <v>90</v>
      </c>
      <c r="D516" s="5" t="s">
        <v>121</v>
      </c>
      <c r="E516" s="5" t="s">
        <v>1858</v>
      </c>
      <c r="F516" s="5" t="s">
        <v>1859</v>
      </c>
      <c r="G516" s="5" t="s">
        <v>1807</v>
      </c>
      <c r="H516" s="5" t="s">
        <v>854</v>
      </c>
      <c r="I516" s="5" t="s">
        <v>994</v>
      </c>
      <c r="J516" s="5" t="s">
        <v>17</v>
      </c>
      <c r="K516" s="5" t="s">
        <v>8</v>
      </c>
    </row>
    <row r="517" spans="1:11" ht="43.2">
      <c r="A517" s="92">
        <f>_xlfn.XLOOKUP(B517,' Lista de Entrevistas'!B:B,' Lista de Entrevistas'!A:A,"")</f>
        <v>65</v>
      </c>
      <c r="B517" s="5" t="s">
        <v>1456</v>
      </c>
      <c r="C517" s="5" t="s">
        <v>90</v>
      </c>
      <c r="D517" s="5" t="s">
        <v>121</v>
      </c>
      <c r="E517" s="5" t="s">
        <v>1860</v>
      </c>
      <c r="F517" s="5" t="s">
        <v>1861</v>
      </c>
      <c r="G517" s="5" t="s">
        <v>1802</v>
      </c>
      <c r="H517" s="5" t="s">
        <v>890</v>
      </c>
      <c r="I517" s="5" t="s">
        <v>986</v>
      </c>
      <c r="J517" s="5" t="s">
        <v>17</v>
      </c>
      <c r="K517" s="5" t="s">
        <v>8</v>
      </c>
    </row>
    <row r="518" spans="1:11" ht="43.2">
      <c r="A518" s="92">
        <f>_xlfn.XLOOKUP(B518,' Lista de Entrevistas'!B:B,' Lista de Entrevistas'!A:A,"")</f>
        <v>65</v>
      </c>
      <c r="B518" s="5" t="s">
        <v>1456</v>
      </c>
      <c r="C518" s="5" t="s">
        <v>90</v>
      </c>
      <c r="D518" s="5" t="s">
        <v>121</v>
      </c>
      <c r="E518" s="5" t="s">
        <v>1862</v>
      </c>
      <c r="F518" s="5" t="s">
        <v>1863</v>
      </c>
      <c r="G518" s="5" t="s">
        <v>1864</v>
      </c>
      <c r="H518" s="5" t="s">
        <v>850</v>
      </c>
      <c r="I518" s="5" t="s">
        <v>994</v>
      </c>
      <c r="J518" s="5" t="s">
        <v>12</v>
      </c>
      <c r="K518" s="5" t="s">
        <v>13</v>
      </c>
    </row>
    <row r="519" spans="1:11" ht="28.8">
      <c r="A519" s="92">
        <f>_xlfn.XLOOKUP(B519,' Lista de Entrevistas'!B:B,' Lista de Entrevistas'!A:A,"")</f>
        <v>65</v>
      </c>
      <c r="B519" s="5" t="s">
        <v>1456</v>
      </c>
      <c r="C519" s="5" t="s">
        <v>90</v>
      </c>
      <c r="D519" s="5" t="s">
        <v>121</v>
      </c>
      <c r="E519" s="5" t="s">
        <v>1865</v>
      </c>
      <c r="F519" s="5" t="s">
        <v>1866</v>
      </c>
      <c r="G519" s="5" t="s">
        <v>1839</v>
      </c>
      <c r="H519" s="5" t="s">
        <v>854</v>
      </c>
      <c r="I519" s="5" t="s">
        <v>982</v>
      </c>
      <c r="J519" s="5" t="s">
        <v>12</v>
      </c>
      <c r="K519" s="5" t="s">
        <v>13</v>
      </c>
    </row>
    <row r="520" spans="1:11">
      <c r="A520" s="92">
        <f>_xlfn.XLOOKUP(B520,' Lista de Entrevistas'!B:B,' Lista de Entrevistas'!A:A,"")</f>
        <v>66</v>
      </c>
      <c r="B520" t="s">
        <v>1457</v>
      </c>
    </row>
    <row r="521" spans="1:11" ht="43.2">
      <c r="A521" s="92">
        <f>_xlfn.XLOOKUP(B521,' Lista de Entrevistas'!B:B,' Lista de Entrevistas'!A:A,"")</f>
        <v>66</v>
      </c>
      <c r="B521" s="5" t="s">
        <v>1457</v>
      </c>
      <c r="C521" s="5" t="s">
        <v>90</v>
      </c>
      <c r="D521" s="5" t="s">
        <v>145</v>
      </c>
      <c r="E521" s="5" t="s">
        <v>1730</v>
      </c>
      <c r="F521" s="5" t="s">
        <v>1731</v>
      </c>
      <c r="G521" s="5" t="s">
        <v>886</v>
      </c>
      <c r="H521" s="5" t="s">
        <v>28</v>
      </c>
      <c r="I521" s="5" t="s">
        <v>994</v>
      </c>
      <c r="J521" s="5" t="s">
        <v>21</v>
      </c>
      <c r="K521" s="5" t="s">
        <v>8</v>
      </c>
    </row>
    <row r="522" spans="1:11" ht="28.8">
      <c r="A522" s="92">
        <f>_xlfn.XLOOKUP(B522,' Lista de Entrevistas'!B:B,' Lista de Entrevistas'!A:A,"")</f>
        <v>66</v>
      </c>
      <c r="B522" s="5" t="s">
        <v>1457</v>
      </c>
      <c r="C522" s="5" t="s">
        <v>90</v>
      </c>
      <c r="D522" s="5" t="s">
        <v>145</v>
      </c>
      <c r="E522" s="5" t="s">
        <v>1732</v>
      </c>
      <c r="F522" s="5" t="s">
        <v>1733</v>
      </c>
      <c r="G522" s="5" t="s">
        <v>884</v>
      </c>
      <c r="H522" s="5" t="s">
        <v>28</v>
      </c>
      <c r="I522" s="5" t="s">
        <v>986</v>
      </c>
      <c r="J522" s="5" t="s">
        <v>21</v>
      </c>
      <c r="K522" s="5" t="s">
        <v>8</v>
      </c>
    </row>
    <row r="523" spans="1:11" ht="28.8">
      <c r="A523" s="92">
        <f>_xlfn.XLOOKUP(B523,' Lista de Entrevistas'!B:B,' Lista de Entrevistas'!A:A,"")</f>
        <v>66</v>
      </c>
      <c r="B523" s="5" t="s">
        <v>1457</v>
      </c>
      <c r="C523" s="5" t="s">
        <v>90</v>
      </c>
      <c r="D523" s="5" t="s">
        <v>145</v>
      </c>
      <c r="E523" s="5" t="s">
        <v>1734</v>
      </c>
      <c r="F523" s="5" t="s">
        <v>1735</v>
      </c>
      <c r="G523" s="5" t="s">
        <v>886</v>
      </c>
      <c r="H523" s="5" t="s">
        <v>28</v>
      </c>
      <c r="I523" s="5" t="s">
        <v>994</v>
      </c>
      <c r="J523" s="5" t="s">
        <v>21</v>
      </c>
      <c r="K523" s="5" t="s">
        <v>8</v>
      </c>
    </row>
    <row r="524" spans="1:11" ht="28.8">
      <c r="A524" s="92">
        <f>_xlfn.XLOOKUP(B524,' Lista de Entrevistas'!B:B,' Lista de Entrevistas'!A:A,"")</f>
        <v>66</v>
      </c>
      <c r="B524" s="5" t="s">
        <v>1457</v>
      </c>
      <c r="C524" s="5" t="s">
        <v>90</v>
      </c>
      <c r="D524" s="5" t="s">
        <v>145</v>
      </c>
      <c r="E524" s="5" t="s">
        <v>1736</v>
      </c>
      <c r="F524" s="5" t="s">
        <v>1737</v>
      </c>
      <c r="G524" s="5" t="s">
        <v>862</v>
      </c>
      <c r="H524" s="5" t="s">
        <v>854</v>
      </c>
      <c r="I524" s="5" t="s">
        <v>988</v>
      </c>
      <c r="J524" s="5" t="s">
        <v>21</v>
      </c>
      <c r="K524" s="5" t="s">
        <v>8</v>
      </c>
    </row>
    <row r="525" spans="1:11" ht="28.8">
      <c r="A525" s="92">
        <f>_xlfn.XLOOKUP(B525,' Lista de Entrevistas'!B:B,' Lista de Entrevistas'!A:A,"")</f>
        <v>66</v>
      </c>
      <c r="B525" s="5" t="s">
        <v>1457</v>
      </c>
      <c r="C525" s="5" t="s">
        <v>90</v>
      </c>
      <c r="D525" s="5" t="s">
        <v>145</v>
      </c>
      <c r="E525" s="5" t="s">
        <v>1738</v>
      </c>
      <c r="F525" s="5" t="s">
        <v>1739</v>
      </c>
      <c r="G525" s="5" t="s">
        <v>885</v>
      </c>
      <c r="H525" s="5" t="s">
        <v>28</v>
      </c>
      <c r="I525" s="5" t="s">
        <v>986</v>
      </c>
      <c r="J525" s="5" t="s">
        <v>21</v>
      </c>
      <c r="K525" s="5" t="s">
        <v>8</v>
      </c>
    </row>
    <row r="526" spans="1:11" ht="28.8">
      <c r="A526" s="92">
        <f>_xlfn.XLOOKUP(B526,' Lista de Entrevistas'!B:B,' Lista de Entrevistas'!A:A,"")</f>
        <v>66</v>
      </c>
      <c r="B526" s="5" t="s">
        <v>1457</v>
      </c>
      <c r="C526" s="5" t="s">
        <v>90</v>
      </c>
      <c r="D526" s="5" t="s">
        <v>145</v>
      </c>
      <c r="E526" s="5" t="s">
        <v>1740</v>
      </c>
      <c r="F526" s="5" t="s">
        <v>1741</v>
      </c>
      <c r="G526" s="5" t="s">
        <v>1612</v>
      </c>
      <c r="H526" s="5" t="s">
        <v>405</v>
      </c>
      <c r="I526" s="5" t="s">
        <v>986</v>
      </c>
      <c r="J526" s="5" t="s">
        <v>21</v>
      </c>
      <c r="K526" s="5" t="s">
        <v>8</v>
      </c>
    </row>
    <row r="527" spans="1:11" ht="28.8">
      <c r="A527" s="92">
        <f>_xlfn.XLOOKUP(B527,' Lista de Entrevistas'!B:B,' Lista de Entrevistas'!A:A,"")</f>
        <v>66</v>
      </c>
      <c r="B527" s="5" t="s">
        <v>1457</v>
      </c>
      <c r="C527" s="5" t="s">
        <v>90</v>
      </c>
      <c r="D527" s="5" t="s">
        <v>145</v>
      </c>
      <c r="E527" s="5" t="s">
        <v>1742</v>
      </c>
      <c r="F527" s="5" t="s">
        <v>1743</v>
      </c>
      <c r="G527" s="5" t="s">
        <v>1699</v>
      </c>
      <c r="H527" s="5" t="s">
        <v>28</v>
      </c>
      <c r="I527" s="5" t="s">
        <v>986</v>
      </c>
      <c r="J527" s="5" t="s">
        <v>21</v>
      </c>
      <c r="K527" s="5" t="s">
        <v>8</v>
      </c>
    </row>
    <row r="528" spans="1:11" ht="28.8">
      <c r="A528" s="92">
        <f>_xlfn.XLOOKUP(B528,' Lista de Entrevistas'!B:B,' Lista de Entrevistas'!A:A,"")</f>
        <v>66</v>
      </c>
      <c r="B528" s="5" t="s">
        <v>1457</v>
      </c>
      <c r="C528" s="5" t="s">
        <v>90</v>
      </c>
      <c r="D528" s="5" t="s">
        <v>145</v>
      </c>
      <c r="E528" s="5" t="s">
        <v>1744</v>
      </c>
      <c r="F528" s="5" t="s">
        <v>1745</v>
      </c>
      <c r="G528" s="5" t="s">
        <v>1723</v>
      </c>
      <c r="H528" s="5" t="s">
        <v>28</v>
      </c>
      <c r="I528" s="5" t="s">
        <v>994</v>
      </c>
      <c r="J528" s="5" t="s">
        <v>21</v>
      </c>
      <c r="K528" s="5" t="s">
        <v>8</v>
      </c>
    </row>
    <row r="529" spans="1:11" ht="28.8">
      <c r="A529" s="92">
        <f>_xlfn.XLOOKUP(B529,' Lista de Entrevistas'!B:B,' Lista de Entrevistas'!A:A,"")</f>
        <v>66</v>
      </c>
      <c r="B529" s="5" t="s">
        <v>1457</v>
      </c>
      <c r="C529" s="5" t="s">
        <v>90</v>
      </c>
      <c r="D529" s="5" t="s">
        <v>145</v>
      </c>
      <c r="E529" s="5" t="s">
        <v>1746</v>
      </c>
      <c r="F529" s="5" t="s">
        <v>1747</v>
      </c>
      <c r="G529" s="5" t="s">
        <v>886</v>
      </c>
      <c r="H529" s="5" t="s">
        <v>28</v>
      </c>
      <c r="I529" s="5" t="s">
        <v>988</v>
      </c>
      <c r="J529" s="5" t="s">
        <v>21</v>
      </c>
      <c r="K529" s="5" t="s">
        <v>8</v>
      </c>
    </row>
    <row r="530" spans="1:11" ht="28.8">
      <c r="A530" s="92">
        <f>_xlfn.XLOOKUP(B530,' Lista de Entrevistas'!B:B,' Lista de Entrevistas'!A:A,"")</f>
        <v>66</v>
      </c>
      <c r="B530" s="5" t="s">
        <v>1457</v>
      </c>
      <c r="C530" s="5" t="s">
        <v>90</v>
      </c>
      <c r="D530" s="5" t="s">
        <v>145</v>
      </c>
      <c r="E530" s="5" t="s">
        <v>1748</v>
      </c>
      <c r="F530" s="5" t="s">
        <v>1749</v>
      </c>
      <c r="G530" s="5" t="s">
        <v>877</v>
      </c>
      <c r="H530" s="5" t="s">
        <v>850</v>
      </c>
      <c r="I530" s="5" t="s">
        <v>984</v>
      </c>
      <c r="J530" s="5" t="s">
        <v>21</v>
      </c>
      <c r="K530" s="5" t="s">
        <v>8</v>
      </c>
    </row>
    <row r="531" spans="1:11" ht="28.8">
      <c r="A531" s="92">
        <f>_xlfn.XLOOKUP(B531,' Lista de Entrevistas'!B:B,' Lista de Entrevistas'!A:A,"")</f>
        <v>66</v>
      </c>
      <c r="B531" s="5" t="s">
        <v>1457</v>
      </c>
      <c r="C531" s="5" t="s">
        <v>90</v>
      </c>
      <c r="D531" s="5" t="s">
        <v>145</v>
      </c>
      <c r="E531" s="5" t="s">
        <v>1750</v>
      </c>
      <c r="F531" s="5" t="s">
        <v>1751</v>
      </c>
      <c r="G531" s="5" t="s">
        <v>884</v>
      </c>
      <c r="H531" s="5" t="s">
        <v>28</v>
      </c>
      <c r="I531" s="5" t="s">
        <v>986</v>
      </c>
      <c r="J531" s="5" t="s">
        <v>21</v>
      </c>
      <c r="K531" s="5" t="s">
        <v>8</v>
      </c>
    </row>
    <row r="532" spans="1:11" ht="28.8">
      <c r="A532" s="92">
        <f>_xlfn.XLOOKUP(B532,' Lista de Entrevistas'!B:B,' Lista de Entrevistas'!A:A,"")</f>
        <v>66</v>
      </c>
      <c r="B532" s="5" t="s">
        <v>1457</v>
      </c>
      <c r="C532" s="5" t="s">
        <v>90</v>
      </c>
      <c r="D532" s="5" t="s">
        <v>145</v>
      </c>
      <c r="E532" s="5" t="s">
        <v>1752</v>
      </c>
      <c r="F532" s="5" t="s">
        <v>1753</v>
      </c>
      <c r="G532" s="5" t="s">
        <v>1612</v>
      </c>
      <c r="H532" s="5" t="s">
        <v>405</v>
      </c>
      <c r="I532" s="5" t="s">
        <v>982</v>
      </c>
      <c r="J532" s="5" t="s">
        <v>21</v>
      </c>
      <c r="K532" s="5" t="s">
        <v>8</v>
      </c>
    </row>
    <row r="533" spans="1:11" ht="28.8">
      <c r="A533" s="92">
        <f>_xlfn.XLOOKUP(B533,' Lista de Entrevistas'!B:B,' Lista de Entrevistas'!A:A,"")</f>
        <v>66</v>
      </c>
      <c r="B533" s="5" t="s">
        <v>1457</v>
      </c>
      <c r="C533" s="5" t="s">
        <v>90</v>
      </c>
      <c r="D533" s="5" t="s">
        <v>145</v>
      </c>
      <c r="E533" s="5" t="s">
        <v>1754</v>
      </c>
      <c r="F533" s="5" t="s">
        <v>1755</v>
      </c>
      <c r="G533" s="5" t="s">
        <v>893</v>
      </c>
      <c r="H533" s="5" t="s">
        <v>853</v>
      </c>
      <c r="I533" s="5" t="s">
        <v>986</v>
      </c>
      <c r="J533" s="5" t="s">
        <v>17</v>
      </c>
      <c r="K533" s="5" t="s">
        <v>8</v>
      </c>
    </row>
    <row r="534" spans="1:11" ht="28.8">
      <c r="A534" s="92">
        <f>_xlfn.XLOOKUP(B534,' Lista de Entrevistas'!B:B,' Lista de Entrevistas'!A:A,"")</f>
        <v>66</v>
      </c>
      <c r="B534" s="5" t="s">
        <v>1457</v>
      </c>
      <c r="C534" s="5" t="s">
        <v>90</v>
      </c>
      <c r="D534" s="5" t="s">
        <v>145</v>
      </c>
      <c r="E534" s="5" t="s">
        <v>1756</v>
      </c>
      <c r="F534" s="5" t="s">
        <v>1757</v>
      </c>
      <c r="G534" s="5" t="s">
        <v>875</v>
      </c>
      <c r="H534" s="5" t="s">
        <v>890</v>
      </c>
      <c r="I534" s="5" t="s">
        <v>986</v>
      </c>
      <c r="J534" s="5" t="s">
        <v>17</v>
      </c>
      <c r="K534" s="5" t="s">
        <v>8</v>
      </c>
    </row>
    <row r="535" spans="1:11" ht="28.8">
      <c r="A535" s="92">
        <f>_xlfn.XLOOKUP(B535,' Lista de Entrevistas'!B:B,' Lista de Entrevistas'!A:A,"")</f>
        <v>66</v>
      </c>
      <c r="B535" s="5" t="s">
        <v>1457</v>
      </c>
      <c r="C535" s="5" t="s">
        <v>90</v>
      </c>
      <c r="D535" s="5" t="s">
        <v>145</v>
      </c>
      <c r="E535" s="5" t="s">
        <v>1758</v>
      </c>
      <c r="F535" s="5" t="s">
        <v>1759</v>
      </c>
      <c r="G535" s="5" t="s">
        <v>1606</v>
      </c>
      <c r="H535" s="5" t="s">
        <v>890</v>
      </c>
      <c r="I535" s="5" t="s">
        <v>986</v>
      </c>
      <c r="J535" s="5" t="s">
        <v>21</v>
      </c>
      <c r="K535" s="5" t="s">
        <v>8</v>
      </c>
    </row>
    <row r="536" spans="1:11" ht="28.8">
      <c r="A536" s="92">
        <f>_xlfn.XLOOKUP(B536,' Lista de Entrevistas'!B:B,' Lista de Entrevistas'!A:A,"")</f>
        <v>66</v>
      </c>
      <c r="B536" s="5" t="s">
        <v>1457</v>
      </c>
      <c r="C536" s="5" t="s">
        <v>90</v>
      </c>
      <c r="D536" s="5" t="s">
        <v>145</v>
      </c>
      <c r="E536" s="5" t="s">
        <v>1760</v>
      </c>
      <c r="F536" s="5" t="s">
        <v>1761</v>
      </c>
      <c r="G536" s="5" t="s">
        <v>862</v>
      </c>
      <c r="H536" s="5" t="s">
        <v>854</v>
      </c>
      <c r="I536" s="5" t="s">
        <v>994</v>
      </c>
      <c r="J536" s="5" t="s">
        <v>21</v>
      </c>
      <c r="K536" s="5" t="s">
        <v>8</v>
      </c>
    </row>
    <row r="537" spans="1:11" ht="28.8">
      <c r="A537" s="92">
        <f>_xlfn.XLOOKUP(B537,' Lista de Entrevistas'!B:B,' Lista de Entrevistas'!A:A,"")</f>
        <v>66</v>
      </c>
      <c r="B537" s="5" t="s">
        <v>1457</v>
      </c>
      <c r="C537" s="5" t="s">
        <v>90</v>
      </c>
      <c r="D537" s="5" t="s">
        <v>145</v>
      </c>
      <c r="E537" s="5" t="s">
        <v>1762</v>
      </c>
      <c r="F537" s="5" t="s">
        <v>1763</v>
      </c>
      <c r="G537" s="5" t="s">
        <v>877</v>
      </c>
      <c r="H537" s="5" t="s">
        <v>850</v>
      </c>
      <c r="I537" s="5" t="s">
        <v>982</v>
      </c>
      <c r="J537" s="5" t="s">
        <v>21</v>
      </c>
      <c r="K537" s="5" t="s">
        <v>8</v>
      </c>
    </row>
    <row r="538" spans="1:11" ht="28.8">
      <c r="A538" s="92">
        <f>_xlfn.XLOOKUP(B538,' Lista de Entrevistas'!B:B,' Lista de Entrevistas'!A:A,"")</f>
        <v>66</v>
      </c>
      <c r="B538" s="5" t="s">
        <v>1457</v>
      </c>
      <c r="C538" s="5" t="s">
        <v>90</v>
      </c>
      <c r="D538" s="5" t="s">
        <v>145</v>
      </c>
      <c r="E538" s="5" t="s">
        <v>1764</v>
      </c>
      <c r="F538" s="5" t="s">
        <v>1765</v>
      </c>
      <c r="G538" s="5" t="s">
        <v>862</v>
      </c>
      <c r="H538" s="5" t="s">
        <v>854</v>
      </c>
      <c r="I538" s="5" t="s">
        <v>988</v>
      </c>
      <c r="J538" s="5" t="s">
        <v>21</v>
      </c>
      <c r="K538" s="5" t="s">
        <v>8</v>
      </c>
    </row>
    <row r="539" spans="1:11" ht="28.8">
      <c r="A539" s="92">
        <f>_xlfn.XLOOKUP(B539,' Lista de Entrevistas'!B:B,' Lista de Entrevistas'!A:A,"")</f>
        <v>66</v>
      </c>
      <c r="B539" s="5" t="s">
        <v>1457</v>
      </c>
      <c r="C539" s="5" t="s">
        <v>90</v>
      </c>
      <c r="D539" s="5" t="s">
        <v>145</v>
      </c>
      <c r="E539" s="5" t="s">
        <v>1766</v>
      </c>
      <c r="F539" s="5" t="s">
        <v>1767</v>
      </c>
      <c r="G539" s="5" t="s">
        <v>1612</v>
      </c>
      <c r="H539" s="5" t="s">
        <v>405</v>
      </c>
      <c r="I539" s="5" t="s">
        <v>986</v>
      </c>
      <c r="J539" s="5" t="s">
        <v>17</v>
      </c>
      <c r="K539" s="5" t="s">
        <v>8</v>
      </c>
    </row>
    <row r="540" spans="1:11">
      <c r="A540" s="92">
        <f>_xlfn.XLOOKUP(B540,' Lista de Entrevistas'!B:B,' Lista de Entrevistas'!A:A,"")</f>
        <v>66</v>
      </c>
      <c r="B540" s="5" t="s">
        <v>1457</v>
      </c>
      <c r="C540" s="5" t="s">
        <v>90</v>
      </c>
      <c r="D540" s="5" t="s">
        <v>145</v>
      </c>
      <c r="E540" s="5" t="s">
        <v>1768</v>
      </c>
      <c r="F540" s="5" t="s">
        <v>1769</v>
      </c>
      <c r="G540" s="5" t="s">
        <v>1699</v>
      </c>
      <c r="H540" s="5" t="s">
        <v>28</v>
      </c>
      <c r="I540" s="5" t="s">
        <v>986</v>
      </c>
      <c r="J540" s="5" t="s">
        <v>21</v>
      </c>
      <c r="K540" s="5" t="s">
        <v>8</v>
      </c>
    </row>
    <row r="541" spans="1:11" ht="28.8">
      <c r="A541" s="92">
        <f>_xlfn.XLOOKUP(B541,' Lista de Entrevistas'!B:B,' Lista de Entrevistas'!A:A,"")</f>
        <v>66</v>
      </c>
      <c r="B541" s="5" t="s">
        <v>1457</v>
      </c>
      <c r="C541" s="5" t="s">
        <v>90</v>
      </c>
      <c r="D541" s="5" t="s">
        <v>145</v>
      </c>
      <c r="E541" s="5" t="s">
        <v>1770</v>
      </c>
      <c r="F541" s="5" t="s">
        <v>1771</v>
      </c>
      <c r="G541" s="5" t="s">
        <v>1606</v>
      </c>
      <c r="H541" s="5" t="s">
        <v>890</v>
      </c>
      <c r="I541" s="5" t="s">
        <v>988</v>
      </c>
      <c r="J541" s="5" t="s">
        <v>21</v>
      </c>
      <c r="K541" s="5" t="s">
        <v>8</v>
      </c>
    </row>
    <row r="542" spans="1:11">
      <c r="A542" s="92">
        <f>_xlfn.XLOOKUP(B542,' Lista de Entrevistas'!B:B,' Lista de Entrevistas'!A:A,"")</f>
        <v>67</v>
      </c>
      <c r="B542" t="s">
        <v>1458</v>
      </c>
    </row>
    <row r="543" spans="1:11" ht="43.2">
      <c r="A543" s="92">
        <f>_xlfn.XLOOKUP(B543,' Lista de Entrevistas'!B:B,' Lista de Entrevistas'!A:A,"")</f>
        <v>67</v>
      </c>
      <c r="B543" s="5" t="s">
        <v>1458</v>
      </c>
      <c r="C543" s="5" t="s">
        <v>90</v>
      </c>
      <c r="D543" s="5" t="s">
        <v>121</v>
      </c>
      <c r="E543" s="5" t="s">
        <v>1805</v>
      </c>
      <c r="F543" s="5" t="s">
        <v>1806</v>
      </c>
      <c r="G543" s="5" t="s">
        <v>1807</v>
      </c>
      <c r="H543" s="5" t="s">
        <v>854</v>
      </c>
      <c r="I543" s="5" t="s">
        <v>994</v>
      </c>
      <c r="J543" s="5" t="s">
        <v>17</v>
      </c>
      <c r="K543" s="5" t="s">
        <v>8</v>
      </c>
    </row>
    <row r="544" spans="1:11" ht="28.8">
      <c r="A544" s="92">
        <f>_xlfn.XLOOKUP(B544,' Lista de Entrevistas'!B:B,' Lista de Entrevistas'!A:A,"")</f>
        <v>67</v>
      </c>
      <c r="B544" s="5" t="s">
        <v>1458</v>
      </c>
      <c r="C544" s="5" t="s">
        <v>90</v>
      </c>
      <c r="D544" s="5" t="s">
        <v>121</v>
      </c>
      <c r="E544" s="5" t="s">
        <v>1808</v>
      </c>
      <c r="F544" s="5" t="s">
        <v>1809</v>
      </c>
      <c r="G544" s="5" t="s">
        <v>1774</v>
      </c>
      <c r="H544" s="5" t="s">
        <v>28</v>
      </c>
      <c r="I544" s="5" t="s">
        <v>994</v>
      </c>
      <c r="J544" s="5" t="s">
        <v>17</v>
      </c>
      <c r="K544" s="5" t="s">
        <v>13</v>
      </c>
    </row>
    <row r="545" spans="1:11" ht="28.8">
      <c r="A545" s="92">
        <f>_xlfn.XLOOKUP(B545,' Lista de Entrevistas'!B:B,' Lista de Entrevistas'!A:A,"")</f>
        <v>67</v>
      </c>
      <c r="B545" s="5" t="s">
        <v>1458</v>
      </c>
      <c r="C545" s="5" t="s">
        <v>90</v>
      </c>
      <c r="D545" s="5" t="s">
        <v>121</v>
      </c>
      <c r="E545" s="5" t="s">
        <v>1810</v>
      </c>
      <c r="F545" s="5" t="s">
        <v>1811</v>
      </c>
      <c r="G545" s="5" t="s">
        <v>1807</v>
      </c>
      <c r="H545" s="5" t="s">
        <v>854</v>
      </c>
      <c r="I545" s="5" t="s">
        <v>978</v>
      </c>
      <c r="J545" s="5" t="s">
        <v>17</v>
      </c>
      <c r="K545" s="5" t="s">
        <v>8</v>
      </c>
    </row>
    <row r="546" spans="1:11" ht="43.2">
      <c r="A546" s="92">
        <f>_xlfn.XLOOKUP(B546,' Lista de Entrevistas'!B:B,' Lista de Entrevistas'!A:A,"")</f>
        <v>67</v>
      </c>
      <c r="B546" s="5" t="s">
        <v>1458</v>
      </c>
      <c r="C546" s="5" t="s">
        <v>90</v>
      </c>
      <c r="D546" s="5" t="s">
        <v>121</v>
      </c>
      <c r="E546" s="5" t="s">
        <v>1812</v>
      </c>
      <c r="F546" s="5" t="s">
        <v>1813</v>
      </c>
      <c r="G546" s="5" t="s">
        <v>1814</v>
      </c>
      <c r="H546" s="5" t="s">
        <v>854</v>
      </c>
      <c r="I546" s="5" t="s">
        <v>984</v>
      </c>
      <c r="J546" s="5" t="s">
        <v>17</v>
      </c>
      <c r="K546" s="5" t="s">
        <v>13</v>
      </c>
    </row>
    <row r="547" spans="1:11" ht="28.8">
      <c r="A547" s="92">
        <f>_xlfn.XLOOKUP(B547,' Lista de Entrevistas'!B:B,' Lista de Entrevistas'!A:A,"")</f>
        <v>67</v>
      </c>
      <c r="B547" s="5" t="s">
        <v>1458</v>
      </c>
      <c r="C547" s="5" t="s">
        <v>90</v>
      </c>
      <c r="D547" s="5" t="s">
        <v>121</v>
      </c>
      <c r="E547" s="5" t="s">
        <v>1815</v>
      </c>
      <c r="F547" s="5" t="s">
        <v>1816</v>
      </c>
      <c r="G547" s="5" t="s">
        <v>1807</v>
      </c>
      <c r="H547" s="5" t="s">
        <v>854</v>
      </c>
      <c r="I547" s="5" t="s">
        <v>982</v>
      </c>
      <c r="J547" s="5" t="s">
        <v>17</v>
      </c>
      <c r="K547" s="5" t="s">
        <v>8</v>
      </c>
    </row>
    <row r="548" spans="1:11" ht="28.8">
      <c r="A548" s="92">
        <f>_xlfn.XLOOKUP(B548,' Lista de Entrevistas'!B:B,' Lista de Entrevistas'!A:A,"")</f>
        <v>67</v>
      </c>
      <c r="B548" s="5" t="s">
        <v>1458</v>
      </c>
      <c r="C548" s="5" t="s">
        <v>90</v>
      </c>
      <c r="D548" s="5" t="s">
        <v>121</v>
      </c>
      <c r="E548" s="5" t="s">
        <v>1817</v>
      </c>
      <c r="F548" s="5" t="s">
        <v>1818</v>
      </c>
      <c r="G548" s="5" t="s">
        <v>1819</v>
      </c>
      <c r="H548" s="5" t="s">
        <v>854</v>
      </c>
      <c r="I548" s="5" t="s">
        <v>988</v>
      </c>
      <c r="J548" s="5" t="s">
        <v>21</v>
      </c>
      <c r="K548" s="5" t="s">
        <v>8</v>
      </c>
    </row>
    <row r="549" spans="1:11" ht="28.8">
      <c r="A549" s="92">
        <f>_xlfn.XLOOKUP(B549,' Lista de Entrevistas'!B:B,' Lista de Entrevistas'!A:A,"")</f>
        <v>67</v>
      </c>
      <c r="B549" s="5" t="s">
        <v>1458</v>
      </c>
      <c r="C549" s="5" t="s">
        <v>90</v>
      </c>
      <c r="D549" s="5" t="s">
        <v>121</v>
      </c>
      <c r="E549" s="5" t="s">
        <v>1820</v>
      </c>
      <c r="F549" s="5" t="s">
        <v>1821</v>
      </c>
      <c r="G549" s="5" t="s">
        <v>1807</v>
      </c>
      <c r="H549" s="5" t="s">
        <v>854</v>
      </c>
      <c r="I549" s="5" t="s">
        <v>994</v>
      </c>
      <c r="J549" s="5" t="s">
        <v>17</v>
      </c>
      <c r="K549" s="5" t="s">
        <v>8</v>
      </c>
    </row>
    <row r="550" spans="1:11" ht="28.8">
      <c r="A550" s="92">
        <f>_xlfn.XLOOKUP(B550,' Lista de Entrevistas'!B:B,' Lista de Entrevistas'!A:A,"")</f>
        <v>67</v>
      </c>
      <c r="B550" s="5" t="s">
        <v>1458</v>
      </c>
      <c r="C550" s="5" t="s">
        <v>90</v>
      </c>
      <c r="D550" s="5" t="s">
        <v>121</v>
      </c>
      <c r="E550" s="5" t="s">
        <v>1822</v>
      </c>
      <c r="F550" s="5" t="s">
        <v>1823</v>
      </c>
      <c r="G550" s="5" t="s">
        <v>1819</v>
      </c>
      <c r="H550" s="5" t="s">
        <v>854</v>
      </c>
      <c r="I550" s="5" t="s">
        <v>988</v>
      </c>
      <c r="J550" s="5" t="s">
        <v>17</v>
      </c>
      <c r="K550" s="5" t="s">
        <v>8</v>
      </c>
    </row>
    <row r="551" spans="1:11" ht="28.8">
      <c r="A551" s="92">
        <f>_xlfn.XLOOKUP(B551,' Lista de Entrevistas'!B:B,' Lista de Entrevistas'!A:A,"")</f>
        <v>67</v>
      </c>
      <c r="B551" s="5" t="s">
        <v>1458</v>
      </c>
      <c r="C551" s="5" t="s">
        <v>90</v>
      </c>
      <c r="D551" s="5" t="s">
        <v>121</v>
      </c>
      <c r="E551" s="5" t="s">
        <v>1824</v>
      </c>
      <c r="F551" s="5" t="s">
        <v>1825</v>
      </c>
      <c r="G551" s="5" t="s">
        <v>1814</v>
      </c>
      <c r="H551" s="5" t="s">
        <v>854</v>
      </c>
      <c r="I551" s="5" t="s">
        <v>982</v>
      </c>
      <c r="J551" s="5" t="s">
        <v>21</v>
      </c>
      <c r="K551" s="5" t="s">
        <v>8</v>
      </c>
    </row>
    <row r="552" spans="1:11" ht="28.8">
      <c r="A552" s="92">
        <f>_xlfn.XLOOKUP(B552,' Lista de Entrevistas'!B:B,' Lista de Entrevistas'!A:A,"")</f>
        <v>67</v>
      </c>
      <c r="B552" s="5" t="s">
        <v>1458</v>
      </c>
      <c r="C552" s="5" t="s">
        <v>90</v>
      </c>
      <c r="D552" s="5" t="s">
        <v>121</v>
      </c>
      <c r="E552" s="5" t="s">
        <v>1826</v>
      </c>
      <c r="F552" s="5" t="s">
        <v>1827</v>
      </c>
      <c r="G552" s="5" t="s">
        <v>1785</v>
      </c>
      <c r="H552" s="5" t="s">
        <v>890</v>
      </c>
      <c r="I552" s="5" t="s">
        <v>984</v>
      </c>
      <c r="J552" s="5" t="s">
        <v>17</v>
      </c>
      <c r="K552" s="5" t="s">
        <v>8</v>
      </c>
    </row>
    <row r="553" spans="1:11" ht="43.2">
      <c r="A553" s="92">
        <f>_xlfn.XLOOKUP(B553,' Lista de Entrevistas'!B:B,' Lista de Entrevistas'!A:A,"")</f>
        <v>67</v>
      </c>
      <c r="B553" s="5" t="s">
        <v>1458</v>
      </c>
      <c r="C553" s="5" t="s">
        <v>90</v>
      </c>
      <c r="D553" s="5" t="s">
        <v>121</v>
      </c>
      <c r="E553" s="5" t="s">
        <v>1828</v>
      </c>
      <c r="F553" s="5" t="s">
        <v>1829</v>
      </c>
      <c r="G553" s="5" t="s">
        <v>1802</v>
      </c>
      <c r="H553" s="5" t="s">
        <v>890</v>
      </c>
      <c r="I553" s="5" t="s">
        <v>990</v>
      </c>
      <c r="J553" s="5" t="s">
        <v>17</v>
      </c>
      <c r="K553" s="5" t="s">
        <v>8</v>
      </c>
    </row>
    <row r="554" spans="1:11" ht="28.8">
      <c r="A554" s="92">
        <f>_xlfn.XLOOKUP(B554,' Lista de Entrevistas'!B:B,' Lista de Entrevistas'!A:A,"")</f>
        <v>67</v>
      </c>
      <c r="B554" s="5" t="s">
        <v>1458</v>
      </c>
      <c r="C554" s="5" t="s">
        <v>90</v>
      </c>
      <c r="D554" s="5" t="s">
        <v>121</v>
      </c>
      <c r="E554" s="5" t="s">
        <v>1830</v>
      </c>
      <c r="F554" s="5" t="s">
        <v>1831</v>
      </c>
      <c r="G554" s="5" t="s">
        <v>1807</v>
      </c>
      <c r="H554" s="5" t="s">
        <v>854</v>
      </c>
      <c r="I554" s="5" t="s">
        <v>978</v>
      </c>
      <c r="J554" s="5" t="s">
        <v>17</v>
      </c>
      <c r="K554" s="5" t="s">
        <v>13</v>
      </c>
    </row>
    <row r="555" spans="1:11" ht="28.8">
      <c r="A555" s="92">
        <f>_xlfn.XLOOKUP(B555,' Lista de Entrevistas'!B:B,' Lista de Entrevistas'!A:A,"")</f>
        <v>67</v>
      </c>
      <c r="B555" s="5" t="s">
        <v>1458</v>
      </c>
      <c r="C555" s="5" t="s">
        <v>90</v>
      </c>
      <c r="D555" s="5" t="s">
        <v>121</v>
      </c>
      <c r="E555" s="5" t="s">
        <v>1832</v>
      </c>
      <c r="F555" s="5" t="s">
        <v>1833</v>
      </c>
      <c r="G555" s="5" t="s">
        <v>1785</v>
      </c>
      <c r="H555" s="5" t="s">
        <v>890</v>
      </c>
      <c r="I555" s="5" t="s">
        <v>986</v>
      </c>
      <c r="J555" s="5" t="s">
        <v>17</v>
      </c>
      <c r="K555" s="5" t="s">
        <v>13</v>
      </c>
    </row>
    <row r="556" spans="1:11">
      <c r="A556" s="92">
        <f>_xlfn.XLOOKUP(B556,' Lista de Entrevistas'!B:B,' Lista de Entrevistas'!A:A,"")</f>
        <v>68</v>
      </c>
      <c r="B556" t="s">
        <v>1459</v>
      </c>
    </row>
    <row r="557" spans="1:11" ht="57.6">
      <c r="A557" s="92">
        <f>_xlfn.XLOOKUP(B557,' Lista de Entrevistas'!B:B,' Lista de Entrevistas'!A:A,"")</f>
        <v>68</v>
      </c>
      <c r="B557" s="5" t="s">
        <v>1459</v>
      </c>
      <c r="C557" s="5" t="s">
        <v>105</v>
      </c>
      <c r="D557" s="5" t="s">
        <v>121</v>
      </c>
      <c r="E557" s="5" t="s">
        <v>1772</v>
      </c>
      <c r="F557" s="5" t="s">
        <v>1773</v>
      </c>
      <c r="G557" s="5" t="s">
        <v>1774</v>
      </c>
      <c r="H557" s="5" t="s">
        <v>28</v>
      </c>
      <c r="I557" s="5" t="s">
        <v>994</v>
      </c>
      <c r="J557" s="5" t="s">
        <v>21</v>
      </c>
      <c r="K557" s="5" t="s">
        <v>8</v>
      </c>
    </row>
    <row r="558" spans="1:11" ht="28.8">
      <c r="A558" s="92">
        <f>_xlfn.XLOOKUP(B558,' Lista de Entrevistas'!B:B,' Lista de Entrevistas'!A:A,"")</f>
        <v>68</v>
      </c>
      <c r="B558" s="5" t="s">
        <v>1459</v>
      </c>
      <c r="C558" s="5" t="s">
        <v>105</v>
      </c>
      <c r="D558" s="5" t="s">
        <v>121</v>
      </c>
      <c r="E558" s="5" t="s">
        <v>1775</v>
      </c>
      <c r="F558" s="5" t="s">
        <v>1776</v>
      </c>
      <c r="G558" s="5" t="s">
        <v>1777</v>
      </c>
      <c r="H558" s="5" t="s">
        <v>28</v>
      </c>
      <c r="I558" s="5" t="s">
        <v>994</v>
      </c>
      <c r="J558" s="5" t="s">
        <v>21</v>
      </c>
      <c r="K558" s="5" t="s">
        <v>8</v>
      </c>
    </row>
    <row r="559" spans="1:11" ht="28.8">
      <c r="A559" s="92">
        <f>_xlfn.XLOOKUP(B559,' Lista de Entrevistas'!B:B,' Lista de Entrevistas'!A:A,"")</f>
        <v>68</v>
      </c>
      <c r="B559" s="5" t="s">
        <v>1459</v>
      </c>
      <c r="C559" s="5" t="s">
        <v>105</v>
      </c>
      <c r="D559" s="5" t="s">
        <v>121</v>
      </c>
      <c r="E559" s="5" t="s">
        <v>1775</v>
      </c>
      <c r="F559" s="5" t="s">
        <v>1776</v>
      </c>
      <c r="G559" s="5" t="s">
        <v>1777</v>
      </c>
      <c r="H559" s="5" t="s">
        <v>28</v>
      </c>
      <c r="I559" s="5" t="s">
        <v>986</v>
      </c>
      <c r="J559" s="5" t="s">
        <v>21</v>
      </c>
      <c r="K559" s="5" t="s">
        <v>8</v>
      </c>
    </row>
    <row r="560" spans="1:11" ht="43.2">
      <c r="A560" s="92">
        <f>_xlfn.XLOOKUP(B560,' Lista de Entrevistas'!B:B,' Lista de Entrevistas'!A:A,"")</f>
        <v>68</v>
      </c>
      <c r="B560" s="5" t="s">
        <v>1459</v>
      </c>
      <c r="C560" s="5" t="s">
        <v>105</v>
      </c>
      <c r="D560" s="5" t="s">
        <v>121</v>
      </c>
      <c r="E560" s="5" t="s">
        <v>1778</v>
      </c>
      <c r="F560" s="5" t="s">
        <v>1779</v>
      </c>
      <c r="G560" s="5" t="s">
        <v>1777</v>
      </c>
      <c r="H560" s="5" t="s">
        <v>28</v>
      </c>
      <c r="I560" s="5" t="s">
        <v>994</v>
      </c>
      <c r="J560" s="5" t="s">
        <v>21</v>
      </c>
      <c r="K560" s="5" t="s">
        <v>8</v>
      </c>
    </row>
    <row r="561" spans="1:11" ht="43.2">
      <c r="A561" s="92">
        <f>_xlfn.XLOOKUP(B561,' Lista de Entrevistas'!B:B,' Lista de Entrevistas'!A:A,"")</f>
        <v>68</v>
      </c>
      <c r="B561" s="5" t="s">
        <v>1459</v>
      </c>
      <c r="C561" s="5" t="s">
        <v>105</v>
      </c>
      <c r="D561" s="5" t="s">
        <v>121</v>
      </c>
      <c r="E561" s="5" t="s">
        <v>1780</v>
      </c>
      <c r="F561" s="5" t="s">
        <v>1781</v>
      </c>
      <c r="G561" s="5" t="s">
        <v>1782</v>
      </c>
      <c r="H561" s="5" t="s">
        <v>28</v>
      </c>
      <c r="I561" s="5" t="s">
        <v>994</v>
      </c>
      <c r="J561" s="5" t="s">
        <v>17</v>
      </c>
      <c r="K561" s="5" t="s">
        <v>13</v>
      </c>
    </row>
    <row r="562" spans="1:11" ht="28.8">
      <c r="A562" s="92">
        <f>_xlfn.XLOOKUP(B562,' Lista de Entrevistas'!B:B,' Lista de Entrevistas'!A:A,"")</f>
        <v>68</v>
      </c>
      <c r="B562" s="5" t="s">
        <v>1459</v>
      </c>
      <c r="C562" s="5" t="s">
        <v>105</v>
      </c>
      <c r="D562" s="5" t="s">
        <v>121</v>
      </c>
      <c r="E562" s="5" t="s">
        <v>1783</v>
      </c>
      <c r="F562" s="5" t="s">
        <v>1784</v>
      </c>
      <c r="G562" s="5" t="s">
        <v>1785</v>
      </c>
      <c r="H562" s="5" t="s">
        <v>890</v>
      </c>
      <c r="I562" s="5" t="s">
        <v>984</v>
      </c>
      <c r="J562" s="5" t="s">
        <v>17</v>
      </c>
      <c r="K562" s="5" t="s">
        <v>13</v>
      </c>
    </row>
    <row r="563" spans="1:11" ht="28.8">
      <c r="A563" s="92">
        <f>_xlfn.XLOOKUP(B563,' Lista de Entrevistas'!B:B,' Lista de Entrevistas'!A:A,"")</f>
        <v>68</v>
      </c>
      <c r="B563" s="5" t="s">
        <v>1459</v>
      </c>
      <c r="C563" s="5" t="s">
        <v>105</v>
      </c>
      <c r="D563" s="5" t="s">
        <v>121</v>
      </c>
      <c r="E563" s="5" t="s">
        <v>1786</v>
      </c>
      <c r="F563" s="5" t="s">
        <v>1787</v>
      </c>
      <c r="G563" s="5" t="s">
        <v>1788</v>
      </c>
      <c r="H563" s="5" t="s">
        <v>854</v>
      </c>
      <c r="I563" s="5" t="s">
        <v>978</v>
      </c>
      <c r="J563" s="5" t="s">
        <v>12</v>
      </c>
      <c r="K563" s="5" t="s">
        <v>13</v>
      </c>
    </row>
    <row r="564" spans="1:11" ht="28.8">
      <c r="A564" s="92">
        <f>_xlfn.XLOOKUP(B564,' Lista de Entrevistas'!B:B,' Lista de Entrevistas'!A:A,"")</f>
        <v>68</v>
      </c>
      <c r="B564" s="5" t="s">
        <v>1459</v>
      </c>
      <c r="C564" s="5" t="s">
        <v>105</v>
      </c>
      <c r="D564" s="5" t="s">
        <v>121</v>
      </c>
      <c r="E564" s="5" t="s">
        <v>1789</v>
      </c>
      <c r="F564" s="5" t="s">
        <v>1790</v>
      </c>
      <c r="G564" s="5" t="s">
        <v>1791</v>
      </c>
      <c r="H564" s="5" t="s">
        <v>890</v>
      </c>
      <c r="I564" s="5" t="s">
        <v>984</v>
      </c>
      <c r="J564" s="5" t="s">
        <v>17</v>
      </c>
      <c r="K564" s="5" t="s">
        <v>8</v>
      </c>
    </row>
    <row r="565" spans="1:11" ht="28.8">
      <c r="A565" s="92">
        <f>_xlfn.XLOOKUP(B565,' Lista de Entrevistas'!B:B,' Lista de Entrevistas'!A:A,"")</f>
        <v>68</v>
      </c>
      <c r="B565" s="5" t="s">
        <v>1459</v>
      </c>
      <c r="C565" s="5" t="s">
        <v>105</v>
      </c>
      <c r="D565" s="5" t="s">
        <v>121</v>
      </c>
      <c r="E565" s="5" t="s">
        <v>1792</v>
      </c>
      <c r="F565" s="5" t="s">
        <v>1793</v>
      </c>
      <c r="G565" s="5" t="s">
        <v>1794</v>
      </c>
      <c r="H565" s="5" t="s">
        <v>890</v>
      </c>
      <c r="I565" s="5" t="s">
        <v>984</v>
      </c>
      <c r="J565" s="5" t="s">
        <v>17</v>
      </c>
      <c r="K565" s="5" t="s">
        <v>8</v>
      </c>
    </row>
    <row r="566" spans="1:11" ht="28.8">
      <c r="A566" s="92">
        <f>_xlfn.XLOOKUP(B566,' Lista de Entrevistas'!B:B,' Lista de Entrevistas'!A:A,"")</f>
        <v>68</v>
      </c>
      <c r="B566" s="5" t="s">
        <v>1459</v>
      </c>
      <c r="C566" s="5" t="s">
        <v>105</v>
      </c>
      <c r="D566" s="5" t="s">
        <v>121</v>
      </c>
      <c r="E566" s="5" t="s">
        <v>1795</v>
      </c>
      <c r="F566" s="5" t="s">
        <v>1796</v>
      </c>
      <c r="G566" s="5" t="s">
        <v>1797</v>
      </c>
      <c r="H566" s="5" t="s">
        <v>890</v>
      </c>
      <c r="I566" s="5" t="s">
        <v>984</v>
      </c>
      <c r="J566" s="5" t="s">
        <v>17</v>
      </c>
      <c r="K566" s="5" t="s">
        <v>8</v>
      </c>
    </row>
    <row r="567" spans="1:11" ht="28.8">
      <c r="A567" s="92">
        <f>_xlfn.XLOOKUP(B567,' Lista de Entrevistas'!B:B,' Lista de Entrevistas'!A:A,"")</f>
        <v>68</v>
      </c>
      <c r="B567" s="5" t="s">
        <v>1459</v>
      </c>
      <c r="C567" s="5" t="s">
        <v>105</v>
      </c>
      <c r="D567" s="5" t="s">
        <v>121</v>
      </c>
      <c r="E567" s="5" t="s">
        <v>1798</v>
      </c>
      <c r="F567" s="5" t="s">
        <v>1799</v>
      </c>
      <c r="G567" s="5" t="s">
        <v>1777</v>
      </c>
      <c r="H567" s="5" t="s">
        <v>28</v>
      </c>
      <c r="I567" s="5" t="s">
        <v>982</v>
      </c>
      <c r="J567" s="5" t="s">
        <v>21</v>
      </c>
      <c r="K567" s="5" t="s">
        <v>13</v>
      </c>
    </row>
    <row r="568" spans="1:11" ht="43.2">
      <c r="A568" s="92">
        <f>_xlfn.XLOOKUP(B568,' Lista de Entrevistas'!B:B,' Lista de Entrevistas'!A:A,"")</f>
        <v>68</v>
      </c>
      <c r="B568" s="5" t="s">
        <v>1459</v>
      </c>
      <c r="C568" s="5" t="s">
        <v>105</v>
      </c>
      <c r="D568" s="5" t="s">
        <v>121</v>
      </c>
      <c r="E568" s="5" t="s">
        <v>1800</v>
      </c>
      <c r="F568" s="5" t="s">
        <v>1801</v>
      </c>
      <c r="G568" s="5" t="s">
        <v>1802</v>
      </c>
      <c r="H568" s="5" t="s">
        <v>890</v>
      </c>
      <c r="I568" s="5" t="s">
        <v>982</v>
      </c>
      <c r="J568" s="5" t="s">
        <v>21</v>
      </c>
      <c r="K568" s="5" t="s">
        <v>8</v>
      </c>
    </row>
    <row r="569" spans="1:11" ht="43.2">
      <c r="A569" s="92">
        <f>_xlfn.XLOOKUP(B569,' Lista de Entrevistas'!B:B,' Lista de Entrevistas'!A:A,"")</f>
        <v>68</v>
      </c>
      <c r="B569" s="5" t="s">
        <v>1459</v>
      </c>
      <c r="C569" s="5" t="s">
        <v>105</v>
      </c>
      <c r="D569" s="5" t="s">
        <v>121</v>
      </c>
      <c r="E569" s="5" t="s">
        <v>1803</v>
      </c>
      <c r="F569" s="5" t="s">
        <v>1804</v>
      </c>
      <c r="G569" s="5" t="s">
        <v>1788</v>
      </c>
      <c r="H569" s="5" t="s">
        <v>854</v>
      </c>
      <c r="I569" s="5" t="s">
        <v>984</v>
      </c>
      <c r="J569" s="5" t="s">
        <v>17</v>
      </c>
      <c r="K569" s="5" t="s">
        <v>13</v>
      </c>
    </row>
    <row r="570" spans="1:11">
      <c r="A570" s="92">
        <f>_xlfn.XLOOKUP(B570,' Lista de Entrevistas'!B:B,' Lista de Entrevistas'!A:A,"")</f>
        <v>69</v>
      </c>
      <c r="B570" t="s">
        <v>1460</v>
      </c>
    </row>
    <row r="571" spans="1:11" ht="28.8">
      <c r="A571" s="92">
        <f>_xlfn.XLOOKUP(B571,' Lista de Entrevistas'!B:B,' Lista de Entrevistas'!A:A,"")</f>
        <v>69</v>
      </c>
      <c r="B571" s="5" t="s">
        <v>1460</v>
      </c>
      <c r="C571" s="5" t="s">
        <v>90</v>
      </c>
      <c r="D571" s="5" t="s">
        <v>121</v>
      </c>
      <c r="E571" s="5" t="s">
        <v>1867</v>
      </c>
      <c r="F571" s="5" t="s">
        <v>1868</v>
      </c>
      <c r="G571" s="5" t="s">
        <v>1797</v>
      </c>
      <c r="H571" s="5" t="s">
        <v>890</v>
      </c>
      <c r="I571" s="5" t="s">
        <v>984</v>
      </c>
      <c r="J571" s="5" t="s">
        <v>21</v>
      </c>
      <c r="K571" s="5" t="s">
        <v>8</v>
      </c>
    </row>
    <row r="572" spans="1:11" ht="28.8">
      <c r="A572" s="92">
        <f>_xlfn.XLOOKUP(B572,' Lista de Entrevistas'!B:B,' Lista de Entrevistas'!A:A,"")</f>
        <v>69</v>
      </c>
      <c r="B572" s="5" t="s">
        <v>1460</v>
      </c>
      <c r="C572" s="5" t="s">
        <v>90</v>
      </c>
      <c r="D572" s="5" t="s">
        <v>121</v>
      </c>
      <c r="E572" s="5" t="s">
        <v>1869</v>
      </c>
      <c r="F572" s="5" t="s">
        <v>1870</v>
      </c>
      <c r="G572" s="5" t="s">
        <v>1871</v>
      </c>
      <c r="H572" s="5" t="s">
        <v>890</v>
      </c>
      <c r="I572" s="5" t="s">
        <v>984</v>
      </c>
      <c r="J572" s="5" t="s">
        <v>21</v>
      </c>
      <c r="K572" s="5" t="s">
        <v>8</v>
      </c>
    </row>
    <row r="573" spans="1:11" ht="28.8">
      <c r="A573" s="92">
        <f>_xlfn.XLOOKUP(B573,' Lista de Entrevistas'!B:B,' Lista de Entrevistas'!A:A,"")</f>
        <v>69</v>
      </c>
      <c r="B573" s="5" t="s">
        <v>1460</v>
      </c>
      <c r="C573" s="5" t="s">
        <v>90</v>
      </c>
      <c r="D573" s="5" t="s">
        <v>121</v>
      </c>
      <c r="E573" s="5" t="s">
        <v>1872</v>
      </c>
      <c r="F573" s="5" t="s">
        <v>1873</v>
      </c>
      <c r="G573" s="5" t="s">
        <v>1839</v>
      </c>
      <c r="H573" s="5" t="s">
        <v>854</v>
      </c>
      <c r="I573" s="5" t="s">
        <v>986</v>
      </c>
      <c r="J573" s="5" t="s">
        <v>17</v>
      </c>
      <c r="K573" s="5" t="s">
        <v>8</v>
      </c>
    </row>
    <row r="574" spans="1:11" ht="28.8">
      <c r="A574" s="92">
        <f>_xlfn.XLOOKUP(B574,' Lista de Entrevistas'!B:B,' Lista de Entrevistas'!A:A,"")</f>
        <v>69</v>
      </c>
      <c r="B574" s="5" t="s">
        <v>1460</v>
      </c>
      <c r="C574" s="5" t="s">
        <v>90</v>
      </c>
      <c r="D574" s="5" t="s">
        <v>121</v>
      </c>
      <c r="E574" s="5" t="s">
        <v>1874</v>
      </c>
      <c r="F574" s="5" t="s">
        <v>1875</v>
      </c>
      <c r="G574" s="5" t="s">
        <v>1876</v>
      </c>
      <c r="H574" s="5" t="s">
        <v>854</v>
      </c>
      <c r="I574" s="5" t="s">
        <v>994</v>
      </c>
      <c r="J574" s="5" t="s">
        <v>17</v>
      </c>
      <c r="K574" s="5" t="s">
        <v>8</v>
      </c>
    </row>
    <row r="575" spans="1:11" ht="28.8">
      <c r="A575" s="92">
        <f>_xlfn.XLOOKUP(B575,' Lista de Entrevistas'!B:B,' Lista de Entrevistas'!A:A,"")</f>
        <v>69</v>
      </c>
      <c r="B575" s="5" t="s">
        <v>1460</v>
      </c>
      <c r="C575" s="5" t="s">
        <v>90</v>
      </c>
      <c r="D575" s="5" t="s">
        <v>121</v>
      </c>
      <c r="E575" s="5" t="s">
        <v>1877</v>
      </c>
      <c r="F575" s="5" t="s">
        <v>1878</v>
      </c>
      <c r="G575" s="5" t="s">
        <v>1807</v>
      </c>
      <c r="H575" s="5" t="s">
        <v>854</v>
      </c>
      <c r="I575" s="5" t="s">
        <v>986</v>
      </c>
      <c r="J575" s="5" t="s">
        <v>21</v>
      </c>
      <c r="K575" s="5" t="s">
        <v>8</v>
      </c>
    </row>
    <row r="576" spans="1:11" ht="28.8">
      <c r="A576" s="92">
        <f>_xlfn.XLOOKUP(B576,' Lista de Entrevistas'!B:B,' Lista de Entrevistas'!A:A,"")</f>
        <v>69</v>
      </c>
      <c r="B576" s="5" t="s">
        <v>1460</v>
      </c>
      <c r="C576" s="5" t="s">
        <v>90</v>
      </c>
      <c r="D576" s="5" t="s">
        <v>121</v>
      </c>
      <c r="E576" s="5" t="s">
        <v>1879</v>
      </c>
      <c r="F576" s="5" t="s">
        <v>1880</v>
      </c>
      <c r="G576" s="5" t="s">
        <v>1774</v>
      </c>
      <c r="H576" s="5" t="s">
        <v>28</v>
      </c>
      <c r="I576" s="5" t="s">
        <v>994</v>
      </c>
      <c r="J576" s="5" t="s">
        <v>21</v>
      </c>
      <c r="K576" s="5" t="s">
        <v>8</v>
      </c>
    </row>
    <row r="577" spans="1:11" ht="28.8">
      <c r="A577" s="92">
        <f>_xlfn.XLOOKUP(B577,' Lista de Entrevistas'!B:B,' Lista de Entrevistas'!A:A,"")</f>
        <v>69</v>
      </c>
      <c r="B577" s="5" t="s">
        <v>1460</v>
      </c>
      <c r="C577" s="5" t="s">
        <v>90</v>
      </c>
      <c r="D577" s="5" t="s">
        <v>121</v>
      </c>
      <c r="E577" s="5" t="s">
        <v>1881</v>
      </c>
      <c r="F577" s="5" t="s">
        <v>1882</v>
      </c>
      <c r="G577" s="5" t="s">
        <v>1782</v>
      </c>
      <c r="H577" s="5" t="s">
        <v>28</v>
      </c>
      <c r="I577" s="5" t="s">
        <v>986</v>
      </c>
      <c r="J577" s="5" t="s">
        <v>21</v>
      </c>
      <c r="K577" s="5" t="s">
        <v>8</v>
      </c>
    </row>
    <row r="578" spans="1:11" ht="28.8">
      <c r="A578" s="92">
        <f>_xlfn.XLOOKUP(B578,' Lista de Entrevistas'!B:B,' Lista de Entrevistas'!A:A,"")</f>
        <v>69</v>
      </c>
      <c r="B578" s="5" t="s">
        <v>1460</v>
      </c>
      <c r="C578" s="5" t="s">
        <v>90</v>
      </c>
      <c r="D578" s="5" t="s">
        <v>121</v>
      </c>
      <c r="E578" s="5" t="s">
        <v>1883</v>
      </c>
      <c r="F578" s="5" t="s">
        <v>1884</v>
      </c>
      <c r="G578" s="5" t="s">
        <v>1807</v>
      </c>
      <c r="H578" s="5" t="s">
        <v>854</v>
      </c>
      <c r="I578" s="5" t="s">
        <v>982</v>
      </c>
      <c r="J578" s="5" t="s">
        <v>17</v>
      </c>
      <c r="K578" s="5" t="s">
        <v>8</v>
      </c>
    </row>
    <row r="579" spans="1:11" ht="28.8">
      <c r="A579" s="92">
        <f>_xlfn.XLOOKUP(B579,' Lista de Entrevistas'!B:B,' Lista de Entrevistas'!A:A,"")</f>
        <v>69</v>
      </c>
      <c r="B579" s="5" t="s">
        <v>1460</v>
      </c>
      <c r="C579" s="5" t="s">
        <v>90</v>
      </c>
      <c r="D579" s="5" t="s">
        <v>121</v>
      </c>
      <c r="E579" s="5" t="s">
        <v>1885</v>
      </c>
      <c r="F579" s="5" t="s">
        <v>1886</v>
      </c>
      <c r="G579" s="5" t="s">
        <v>1819</v>
      </c>
      <c r="H579" s="5" t="s">
        <v>854</v>
      </c>
      <c r="I579" s="5" t="s">
        <v>988</v>
      </c>
      <c r="J579" s="5" t="s">
        <v>17</v>
      </c>
      <c r="K579" s="5" t="s">
        <v>8</v>
      </c>
    </row>
    <row r="580" spans="1:11" ht="28.8">
      <c r="A580" s="92">
        <f>_xlfn.XLOOKUP(B580,' Lista de Entrevistas'!B:B,' Lista de Entrevistas'!A:A,"")</f>
        <v>69</v>
      </c>
      <c r="B580" s="5" t="s">
        <v>1460</v>
      </c>
      <c r="C580" s="5" t="s">
        <v>90</v>
      </c>
      <c r="D580" s="5" t="s">
        <v>121</v>
      </c>
      <c r="E580" s="5" t="s">
        <v>1887</v>
      </c>
      <c r="F580" s="5" t="s">
        <v>1888</v>
      </c>
      <c r="G580" s="5" t="s">
        <v>1876</v>
      </c>
      <c r="H580" s="5" t="s">
        <v>854</v>
      </c>
      <c r="I580" s="5" t="s">
        <v>982</v>
      </c>
      <c r="J580" s="5" t="s">
        <v>21</v>
      </c>
      <c r="K580" s="5" t="s">
        <v>8</v>
      </c>
    </row>
    <row r="581" spans="1:11" ht="28.8">
      <c r="A581" s="92">
        <f>_xlfn.XLOOKUP(B581,' Lista de Entrevistas'!B:B,' Lista de Entrevistas'!A:A,"")</f>
        <v>69</v>
      </c>
      <c r="B581" s="5" t="s">
        <v>1460</v>
      </c>
      <c r="C581" s="5" t="s">
        <v>90</v>
      </c>
      <c r="D581" s="5" t="s">
        <v>121</v>
      </c>
      <c r="E581" s="5" t="s">
        <v>1889</v>
      </c>
      <c r="F581" s="5" t="s">
        <v>1890</v>
      </c>
      <c r="G581" s="5" t="s">
        <v>1876</v>
      </c>
      <c r="H581" s="5" t="s">
        <v>854</v>
      </c>
      <c r="I581" s="5" t="s">
        <v>984</v>
      </c>
      <c r="J581" s="5" t="s">
        <v>21</v>
      </c>
      <c r="K581" s="5" t="s">
        <v>8</v>
      </c>
    </row>
    <row r="582" spans="1:11" ht="28.8">
      <c r="A582" s="92">
        <f>_xlfn.XLOOKUP(B582,' Lista de Entrevistas'!B:B,' Lista de Entrevistas'!A:A,"")</f>
        <v>69</v>
      </c>
      <c r="B582" s="5" t="s">
        <v>1460</v>
      </c>
      <c r="C582" s="5" t="s">
        <v>90</v>
      </c>
      <c r="D582" s="5" t="s">
        <v>121</v>
      </c>
      <c r="E582" s="5" t="s">
        <v>1891</v>
      </c>
      <c r="F582" s="5" t="s">
        <v>1892</v>
      </c>
      <c r="G582" s="5" t="s">
        <v>1839</v>
      </c>
      <c r="H582" s="5" t="s">
        <v>854</v>
      </c>
      <c r="I582" s="5" t="s">
        <v>984</v>
      </c>
      <c r="J582" s="5" t="s">
        <v>17</v>
      </c>
      <c r="K582" s="5" t="s">
        <v>8</v>
      </c>
    </row>
    <row r="583" spans="1:11" ht="28.8">
      <c r="A583" s="92">
        <f>_xlfn.XLOOKUP(B583,' Lista de Entrevistas'!B:B,' Lista de Entrevistas'!A:A,"")</f>
        <v>69</v>
      </c>
      <c r="B583" s="5" t="s">
        <v>1460</v>
      </c>
      <c r="C583" s="5" t="s">
        <v>90</v>
      </c>
      <c r="D583" s="5" t="s">
        <v>121</v>
      </c>
      <c r="E583" s="5" t="s">
        <v>1893</v>
      </c>
      <c r="F583" s="5" t="s">
        <v>1894</v>
      </c>
      <c r="G583" s="5" t="s">
        <v>1797</v>
      </c>
      <c r="H583" s="5" t="s">
        <v>890</v>
      </c>
      <c r="I583" s="5" t="s">
        <v>984</v>
      </c>
      <c r="J583" s="5" t="s">
        <v>17</v>
      </c>
      <c r="K583" s="5" t="s">
        <v>8</v>
      </c>
    </row>
    <row r="584" spans="1:11" ht="28.8">
      <c r="A584" s="92">
        <f>_xlfn.XLOOKUP(B584,' Lista de Entrevistas'!B:B,' Lista de Entrevistas'!A:A,"")</f>
        <v>69</v>
      </c>
      <c r="B584" s="5" t="s">
        <v>1460</v>
      </c>
      <c r="C584" s="5" t="s">
        <v>90</v>
      </c>
      <c r="D584" s="5" t="s">
        <v>121</v>
      </c>
      <c r="E584" s="5" t="s">
        <v>1895</v>
      </c>
      <c r="F584" s="5" t="s">
        <v>1896</v>
      </c>
      <c r="G584" s="5" t="s">
        <v>1819</v>
      </c>
      <c r="H584" s="5" t="s">
        <v>854</v>
      </c>
      <c r="I584" s="5" t="s">
        <v>988</v>
      </c>
      <c r="J584" s="5" t="s">
        <v>21</v>
      </c>
      <c r="K584" s="5" t="s">
        <v>8</v>
      </c>
    </row>
    <row r="585" spans="1:11" ht="28.8">
      <c r="A585" s="92">
        <f>_xlfn.XLOOKUP(B585,' Lista de Entrevistas'!B:B,' Lista de Entrevistas'!A:A,"")</f>
        <v>69</v>
      </c>
      <c r="B585" s="5" t="s">
        <v>1460</v>
      </c>
      <c r="C585" s="5" t="s">
        <v>90</v>
      </c>
      <c r="D585" s="5" t="s">
        <v>121</v>
      </c>
      <c r="E585" s="5" t="s">
        <v>1897</v>
      </c>
      <c r="F585" s="5" t="s">
        <v>1898</v>
      </c>
      <c r="G585" s="5" t="s">
        <v>1836</v>
      </c>
      <c r="H585" s="5" t="s">
        <v>850</v>
      </c>
      <c r="I585" s="5" t="s">
        <v>986</v>
      </c>
      <c r="J585" s="5" t="s">
        <v>12</v>
      </c>
      <c r="K585" s="5" t="s">
        <v>8</v>
      </c>
    </row>
    <row r="586" spans="1:11" ht="28.8">
      <c r="A586" s="92">
        <f>_xlfn.XLOOKUP(B586,' Lista de Entrevistas'!B:B,' Lista de Entrevistas'!A:A,"")</f>
        <v>69</v>
      </c>
      <c r="B586" s="5" t="s">
        <v>1460</v>
      </c>
      <c r="C586" s="5" t="s">
        <v>90</v>
      </c>
      <c r="D586" s="5" t="s">
        <v>121</v>
      </c>
      <c r="E586" s="5" t="s">
        <v>1899</v>
      </c>
      <c r="F586" s="5" t="s">
        <v>1900</v>
      </c>
      <c r="G586" s="5" t="s">
        <v>1836</v>
      </c>
      <c r="H586" s="5" t="s">
        <v>850</v>
      </c>
      <c r="I586" s="5" t="s">
        <v>990</v>
      </c>
      <c r="J586" s="5" t="s">
        <v>21</v>
      </c>
      <c r="K586" s="5" t="s">
        <v>8</v>
      </c>
    </row>
    <row r="587" spans="1:11" ht="28.8">
      <c r="A587" s="92">
        <f>_xlfn.XLOOKUP(B587,' Lista de Entrevistas'!B:B,' Lista de Entrevistas'!A:A,"")</f>
        <v>69</v>
      </c>
      <c r="B587" s="5" t="s">
        <v>1460</v>
      </c>
      <c r="C587" s="5" t="s">
        <v>90</v>
      </c>
      <c r="D587" s="5" t="s">
        <v>121</v>
      </c>
      <c r="E587" s="5" t="s">
        <v>1901</v>
      </c>
      <c r="F587" s="5" t="s">
        <v>1902</v>
      </c>
      <c r="G587" s="5" t="s">
        <v>1836</v>
      </c>
      <c r="H587" s="5" t="s">
        <v>850</v>
      </c>
      <c r="I587" s="5" t="s">
        <v>986</v>
      </c>
      <c r="J587" s="5" t="s">
        <v>12</v>
      </c>
      <c r="K587" s="5" t="s">
        <v>8</v>
      </c>
    </row>
    <row r="588" spans="1:11" ht="28.8">
      <c r="A588" s="92">
        <f>_xlfn.XLOOKUP(B588,' Lista de Entrevistas'!B:B,' Lista de Entrevistas'!A:A,"")</f>
        <v>69</v>
      </c>
      <c r="B588" s="5" t="s">
        <v>1460</v>
      </c>
      <c r="C588" s="5" t="s">
        <v>90</v>
      </c>
      <c r="D588" s="5" t="s">
        <v>121</v>
      </c>
      <c r="E588" s="5" t="s">
        <v>1903</v>
      </c>
      <c r="F588" s="5" t="s">
        <v>1904</v>
      </c>
      <c r="G588" s="5" t="s">
        <v>1905</v>
      </c>
      <c r="H588" s="5" t="s">
        <v>853</v>
      </c>
      <c r="I588" s="5" t="s">
        <v>988</v>
      </c>
      <c r="J588" s="5" t="s">
        <v>21</v>
      </c>
      <c r="K588" s="5" t="s">
        <v>8</v>
      </c>
    </row>
    <row r="589" spans="1:11" ht="28.8">
      <c r="A589" s="92">
        <f>_xlfn.XLOOKUP(B589,' Lista de Entrevistas'!B:B,' Lista de Entrevistas'!A:A,"")</f>
        <v>69</v>
      </c>
      <c r="B589" s="5" t="s">
        <v>1460</v>
      </c>
      <c r="C589" s="5" t="s">
        <v>90</v>
      </c>
      <c r="D589" s="5" t="s">
        <v>121</v>
      </c>
      <c r="E589" s="5" t="s">
        <v>1906</v>
      </c>
      <c r="F589" s="5" t="s">
        <v>1907</v>
      </c>
      <c r="G589" s="5" t="s">
        <v>1807</v>
      </c>
      <c r="H589" s="5" t="s">
        <v>854</v>
      </c>
      <c r="I589" s="5" t="s">
        <v>986</v>
      </c>
      <c r="J589" s="5" t="s">
        <v>17</v>
      </c>
      <c r="K589" s="5" t="s">
        <v>8</v>
      </c>
    </row>
    <row r="590" spans="1:11" ht="28.8">
      <c r="A590" s="92">
        <f>_xlfn.XLOOKUP(B590,' Lista de Entrevistas'!B:B,' Lista de Entrevistas'!A:A,"")</f>
        <v>69</v>
      </c>
      <c r="B590" s="5" t="s">
        <v>1460</v>
      </c>
      <c r="C590" s="5" t="s">
        <v>90</v>
      </c>
      <c r="D590" s="5" t="s">
        <v>121</v>
      </c>
      <c r="E590" s="5" t="s">
        <v>1908</v>
      </c>
      <c r="F590" s="5" t="s">
        <v>1909</v>
      </c>
      <c r="G590" s="5" t="s">
        <v>1807</v>
      </c>
      <c r="H590" s="5" t="s">
        <v>854</v>
      </c>
      <c r="I590" s="5" t="s">
        <v>982</v>
      </c>
      <c r="J590" s="5" t="s">
        <v>21</v>
      </c>
      <c r="K590" s="5" t="s">
        <v>8</v>
      </c>
    </row>
    <row r="591" spans="1:11" ht="28.8">
      <c r="A591" s="92">
        <f>_xlfn.XLOOKUP(B591,' Lista de Entrevistas'!B:B,' Lista de Entrevistas'!A:A,"")</f>
        <v>69</v>
      </c>
      <c r="B591" s="5" t="s">
        <v>1460</v>
      </c>
      <c r="C591" s="5" t="s">
        <v>90</v>
      </c>
      <c r="D591" s="5" t="s">
        <v>121</v>
      </c>
      <c r="E591" s="5" t="s">
        <v>1910</v>
      </c>
      <c r="F591" s="5" t="s">
        <v>1911</v>
      </c>
      <c r="G591" s="5" t="s">
        <v>1912</v>
      </c>
      <c r="H591" s="5" t="s">
        <v>890</v>
      </c>
      <c r="I591" s="5" t="s">
        <v>986</v>
      </c>
      <c r="J591" s="5" t="s">
        <v>17</v>
      </c>
      <c r="K591" s="5" t="s">
        <v>8</v>
      </c>
    </row>
    <row r="592" spans="1:11" ht="28.8">
      <c r="A592" s="92">
        <f>_xlfn.XLOOKUP(B592,' Lista de Entrevistas'!B:B,' Lista de Entrevistas'!A:A,"")</f>
        <v>69</v>
      </c>
      <c r="B592" s="5" t="s">
        <v>1460</v>
      </c>
      <c r="C592" s="5" t="s">
        <v>90</v>
      </c>
      <c r="D592" s="5" t="s">
        <v>121</v>
      </c>
      <c r="E592" s="5" t="s">
        <v>1913</v>
      </c>
      <c r="F592" s="5" t="s">
        <v>1914</v>
      </c>
      <c r="G592" s="5" t="s">
        <v>1782</v>
      </c>
      <c r="H592" s="5" t="s">
        <v>28</v>
      </c>
      <c r="I592" s="5" t="s">
        <v>994</v>
      </c>
      <c r="J592" s="5" t="s">
        <v>21</v>
      </c>
      <c r="K592" s="5" t="s">
        <v>8</v>
      </c>
    </row>
    <row r="593" spans="1:11" ht="28.8">
      <c r="A593" s="92">
        <f>_xlfn.XLOOKUP(B593,' Lista de Entrevistas'!B:B,' Lista de Entrevistas'!A:A,"")</f>
        <v>69</v>
      </c>
      <c r="B593" s="5" t="s">
        <v>1460</v>
      </c>
      <c r="C593" s="5" t="s">
        <v>90</v>
      </c>
      <c r="D593" s="5" t="s">
        <v>121</v>
      </c>
      <c r="E593" s="5" t="s">
        <v>1915</v>
      </c>
      <c r="F593" s="5" t="s">
        <v>1916</v>
      </c>
      <c r="G593" s="5" t="s">
        <v>1797</v>
      </c>
      <c r="H593" s="5" t="s">
        <v>890</v>
      </c>
      <c r="I593" s="5" t="s">
        <v>978</v>
      </c>
      <c r="J593" s="5" t="s">
        <v>21</v>
      </c>
      <c r="K593" s="5" t="s">
        <v>8</v>
      </c>
    </row>
  </sheetData>
  <autoFilter ref="A1:K593" xr:uid="{96D14AD4-61E8-4A56-A37F-92AF49983BD8}">
    <sortState xmlns:xlrd2="http://schemas.microsoft.com/office/spreadsheetml/2017/richdata2" ref="A2:K593">
      <sortCondition ref="A1:A353"/>
    </sortState>
  </autoFilter>
  <conditionalFormatting sqref="K2:K328">
    <cfRule type="expression" dxfId="0" priority="1">
      <formula>K2="Sim"</formula>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916AA-613A-46C2-8C61-C9773B3D83C5}">
  <sheetPr>
    <tabColor theme="9"/>
  </sheetPr>
  <dimension ref="A1:C10"/>
  <sheetViews>
    <sheetView zoomScaleNormal="100" workbookViewId="0">
      <selection activeCell="A9" sqref="A9"/>
    </sheetView>
  </sheetViews>
  <sheetFormatPr defaultRowHeight="14.4"/>
  <cols>
    <col min="1" max="1" width="38" customWidth="1"/>
    <col min="2" max="2" width="10.6640625" bestFit="1" customWidth="1"/>
    <col min="3" max="3" width="18.88671875" bestFit="1" customWidth="1"/>
  </cols>
  <sheetData>
    <row r="1" spans="1:3" ht="20.399999999999999" customHeight="1">
      <c r="A1" s="89" t="s">
        <v>1009</v>
      </c>
      <c r="B1" s="89" t="s">
        <v>1014</v>
      </c>
      <c r="C1" s="89" t="s">
        <v>1015</v>
      </c>
    </row>
    <row r="2" spans="1:3">
      <c r="A2" s="94" t="s">
        <v>978</v>
      </c>
      <c r="B2" s="5">
        <f>COUNTIF('Analise Individual (2)'!$I$2:$I$974,A2)</f>
        <v>46</v>
      </c>
      <c r="C2" s="5"/>
    </row>
    <row r="3" spans="1:3">
      <c r="A3" s="92" t="s">
        <v>980</v>
      </c>
      <c r="B3" s="5">
        <f>COUNTIF('Analise Individual (2)'!$I$2:$I$974,A3)</f>
        <v>32</v>
      </c>
      <c r="C3" s="5"/>
    </row>
    <row r="4" spans="1:3" ht="28.8">
      <c r="A4" s="94" t="s">
        <v>982</v>
      </c>
      <c r="B4" s="5">
        <f>COUNTIF('Analise Individual (2)'!$I$2:$I$974,A4)</f>
        <v>69</v>
      </c>
      <c r="C4" s="5"/>
    </row>
    <row r="5" spans="1:3">
      <c r="A5" s="92" t="s">
        <v>984</v>
      </c>
      <c r="B5" s="5">
        <f>COUNTIF('Analise Individual (2)'!$I$2:$I$974,A5)</f>
        <v>100</v>
      </c>
      <c r="C5" s="5"/>
    </row>
    <row r="6" spans="1:3">
      <c r="A6" s="94" t="s">
        <v>986</v>
      </c>
      <c r="B6" s="5">
        <f>COUNTIF('Analise Individual (2)'!$I$2:$I$974,A6)</f>
        <v>135</v>
      </c>
      <c r="C6" s="5"/>
    </row>
    <row r="7" spans="1:3">
      <c r="A7" s="92" t="s">
        <v>988</v>
      </c>
      <c r="B7" s="5">
        <f>COUNTIF('Analise Individual (2)'!$I$2:$I$974,A7)</f>
        <v>42</v>
      </c>
      <c r="C7" s="5"/>
    </row>
    <row r="8" spans="1:3" ht="28.8">
      <c r="A8" s="94" t="s">
        <v>990</v>
      </c>
      <c r="B8" s="5">
        <f>COUNTIF('Analise Individual (2)'!$I$2:$I$974,A8)</f>
        <v>8</v>
      </c>
      <c r="C8" s="5"/>
    </row>
    <row r="9" spans="1:3" ht="28.8">
      <c r="A9" s="92" t="s">
        <v>992</v>
      </c>
      <c r="B9" s="5">
        <f>COUNTIF('Analise Individual (2)'!$I$2:$I$974,A9)</f>
        <v>39</v>
      </c>
      <c r="C9" s="5"/>
    </row>
    <row r="10" spans="1:3" ht="28.8">
      <c r="A10" s="94" t="s">
        <v>994</v>
      </c>
      <c r="B10" s="5">
        <f>COUNTIF('Analise Individual (2)'!$I$2:$I$974,A10)</f>
        <v>108</v>
      </c>
      <c r="C10" s="5"/>
    </row>
  </sheetData>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5ECD4-D077-4C6A-857D-E333E1FC3A40}">
  <sheetPr>
    <tabColor theme="9"/>
  </sheetPr>
  <dimension ref="A1:D52"/>
  <sheetViews>
    <sheetView topLeftCell="A41" zoomScale="85" zoomScaleNormal="85" workbookViewId="0">
      <selection activeCell="D47" sqref="D47"/>
    </sheetView>
  </sheetViews>
  <sheetFormatPr defaultRowHeight="14.4"/>
  <cols>
    <col min="1" max="1" width="36" customWidth="1"/>
    <col min="2" max="2" width="28" customWidth="1"/>
    <col min="3" max="3" width="30" customWidth="1"/>
    <col min="4" max="4" width="14" customWidth="1"/>
  </cols>
  <sheetData>
    <row r="1" spans="1:4">
      <c r="A1" s="101" t="s">
        <v>1007</v>
      </c>
      <c r="B1" s="101" t="s">
        <v>1155</v>
      </c>
      <c r="C1" s="101" t="s">
        <v>1008</v>
      </c>
      <c r="D1" s="101" t="s">
        <v>1014</v>
      </c>
    </row>
    <row r="2" spans="1:4" ht="28.8">
      <c r="A2" s="102" t="s">
        <v>1052</v>
      </c>
      <c r="B2" s="102" t="s">
        <v>885</v>
      </c>
      <c r="C2" s="102" t="s">
        <v>28</v>
      </c>
      <c r="D2" s="103">
        <v>6</v>
      </c>
    </row>
    <row r="3" spans="1:4" ht="28.8">
      <c r="A3" s="104" t="s">
        <v>1019</v>
      </c>
      <c r="B3" s="104" t="s">
        <v>877</v>
      </c>
      <c r="C3" s="104" t="s">
        <v>850</v>
      </c>
      <c r="D3" s="68">
        <v>4</v>
      </c>
    </row>
    <row r="4" spans="1:4" ht="28.8">
      <c r="A4" s="102" t="s">
        <v>1046</v>
      </c>
      <c r="B4" s="102" t="s">
        <v>874</v>
      </c>
      <c r="C4" s="102" t="s">
        <v>999</v>
      </c>
      <c r="D4" s="103">
        <v>3</v>
      </c>
    </row>
    <row r="5" spans="1:4" ht="28.8">
      <c r="A5" s="104" t="s">
        <v>1074</v>
      </c>
      <c r="B5" s="104" t="s">
        <v>876</v>
      </c>
      <c r="C5" s="104" t="s">
        <v>999</v>
      </c>
      <c r="D5" s="68">
        <v>3</v>
      </c>
    </row>
    <row r="6" spans="1:4" ht="28.8">
      <c r="A6" s="102" t="s">
        <v>1017</v>
      </c>
      <c r="B6" s="102" t="s">
        <v>862</v>
      </c>
      <c r="C6" s="102" t="s">
        <v>854</v>
      </c>
      <c r="D6" s="103">
        <v>3</v>
      </c>
    </row>
    <row r="7" spans="1:4" ht="28.8">
      <c r="A7" s="104" t="s">
        <v>1044</v>
      </c>
      <c r="B7" s="104" t="s">
        <v>872</v>
      </c>
      <c r="C7" s="104" t="s">
        <v>999</v>
      </c>
      <c r="D7" s="68">
        <v>3</v>
      </c>
    </row>
    <row r="8" spans="1:4" ht="28.8">
      <c r="A8" s="102" t="s">
        <v>1031</v>
      </c>
      <c r="B8" s="102" t="s">
        <v>873</v>
      </c>
      <c r="C8" s="102" t="s">
        <v>999</v>
      </c>
      <c r="D8" s="103">
        <v>3</v>
      </c>
    </row>
    <row r="9" spans="1:4" ht="28.8">
      <c r="A9" s="104" t="s">
        <v>1023</v>
      </c>
      <c r="B9" s="104" t="s">
        <v>824</v>
      </c>
      <c r="C9" s="104" t="s">
        <v>853</v>
      </c>
      <c r="D9" s="68">
        <v>2</v>
      </c>
    </row>
    <row r="10" spans="1:4" ht="28.8">
      <c r="A10" s="102" t="s">
        <v>1133</v>
      </c>
      <c r="B10" s="102" t="s">
        <v>895</v>
      </c>
      <c r="C10" s="102" t="s">
        <v>854</v>
      </c>
      <c r="D10" s="103">
        <v>2</v>
      </c>
    </row>
    <row r="11" spans="1:4" ht="28.8">
      <c r="A11" s="104" t="s">
        <v>1038</v>
      </c>
      <c r="B11" s="104" t="s">
        <v>891</v>
      </c>
      <c r="C11" s="104" t="s">
        <v>999</v>
      </c>
      <c r="D11" s="68">
        <v>2</v>
      </c>
    </row>
    <row r="12" spans="1:4" ht="28.8">
      <c r="A12" s="102" t="s">
        <v>1064</v>
      </c>
      <c r="B12" s="102" t="s">
        <v>861</v>
      </c>
      <c r="C12" s="102" t="s">
        <v>854</v>
      </c>
      <c r="D12" s="103">
        <v>2</v>
      </c>
    </row>
    <row r="13" spans="1:4" ht="28.8">
      <c r="A13" s="104" t="s">
        <v>1050</v>
      </c>
      <c r="B13" s="104" t="s">
        <v>824</v>
      </c>
      <c r="C13" s="104" t="s">
        <v>853</v>
      </c>
      <c r="D13" s="68">
        <v>2</v>
      </c>
    </row>
    <row r="14" spans="1:4" ht="28.8">
      <c r="A14" s="102" t="s">
        <v>1113</v>
      </c>
      <c r="B14" s="102" t="s">
        <v>862</v>
      </c>
      <c r="C14" s="102" t="s">
        <v>854</v>
      </c>
      <c r="D14" s="103">
        <v>2</v>
      </c>
    </row>
    <row r="15" spans="1:4" ht="28.8">
      <c r="A15" s="104" t="s">
        <v>1120</v>
      </c>
      <c r="B15" s="104" t="s">
        <v>893</v>
      </c>
      <c r="C15" s="104" t="s">
        <v>853</v>
      </c>
      <c r="D15" s="68">
        <v>2</v>
      </c>
    </row>
    <row r="16" spans="1:4" ht="28.8">
      <c r="A16" s="102" t="s">
        <v>1106</v>
      </c>
      <c r="B16" s="102" t="s">
        <v>892</v>
      </c>
      <c r="C16" s="102" t="s">
        <v>853</v>
      </c>
      <c r="D16" s="103">
        <v>2</v>
      </c>
    </row>
    <row r="17" spans="1:4" ht="28.8">
      <c r="A17" s="104" t="s">
        <v>1034</v>
      </c>
      <c r="B17" s="104" t="s">
        <v>860</v>
      </c>
      <c r="C17" s="104" t="s">
        <v>854</v>
      </c>
      <c r="D17" s="68">
        <v>2</v>
      </c>
    </row>
    <row r="18" spans="1:4" ht="28.8">
      <c r="A18" s="102" t="s">
        <v>1029</v>
      </c>
      <c r="B18" s="102" t="s">
        <v>859</v>
      </c>
      <c r="C18" s="102" t="s">
        <v>854</v>
      </c>
      <c r="D18" s="103">
        <v>2</v>
      </c>
    </row>
    <row r="19" spans="1:4" ht="28.8">
      <c r="A19" s="104" t="s">
        <v>1048</v>
      </c>
      <c r="B19" s="104" t="s">
        <v>883</v>
      </c>
      <c r="C19" s="104" t="s">
        <v>853</v>
      </c>
      <c r="D19" s="68">
        <v>2</v>
      </c>
    </row>
    <row r="20" spans="1:4" ht="28.8">
      <c r="A20" s="102" t="s">
        <v>1104</v>
      </c>
      <c r="B20" s="102" t="s">
        <v>824</v>
      </c>
      <c r="C20" s="102" t="s">
        <v>853</v>
      </c>
      <c r="D20" s="103">
        <v>2</v>
      </c>
    </row>
    <row r="21" spans="1:4" ht="28.8">
      <c r="A21" s="104" t="s">
        <v>1086</v>
      </c>
      <c r="B21" s="104" t="s">
        <v>893</v>
      </c>
      <c r="C21" s="104" t="s">
        <v>853</v>
      </c>
      <c r="D21" s="68">
        <v>2</v>
      </c>
    </row>
    <row r="22" spans="1:4" ht="28.8">
      <c r="A22" s="102" t="s">
        <v>1080</v>
      </c>
      <c r="B22" s="102" t="s">
        <v>878</v>
      </c>
      <c r="C22" s="102" t="s">
        <v>850</v>
      </c>
      <c r="D22" s="103">
        <v>2</v>
      </c>
    </row>
    <row r="23" spans="1:4" ht="28.8">
      <c r="A23" s="104" t="s">
        <v>1141</v>
      </c>
      <c r="B23" s="104" t="s">
        <v>896</v>
      </c>
      <c r="C23" s="104" t="s">
        <v>28</v>
      </c>
      <c r="D23" s="68">
        <v>2</v>
      </c>
    </row>
    <row r="24" spans="1:4" ht="28.8">
      <c r="A24" s="102" t="s">
        <v>1042</v>
      </c>
      <c r="B24" s="102" t="s">
        <v>873</v>
      </c>
      <c r="C24" s="102" t="s">
        <v>999</v>
      </c>
      <c r="D24" s="103">
        <v>1</v>
      </c>
    </row>
    <row r="25" spans="1:4" ht="28.8">
      <c r="A25" s="104" t="s">
        <v>1099</v>
      </c>
      <c r="B25" s="104" t="s">
        <v>876</v>
      </c>
      <c r="C25" s="104" t="s">
        <v>999</v>
      </c>
      <c r="D25" s="68">
        <v>1</v>
      </c>
    </row>
    <row r="26" spans="1:4" ht="28.8">
      <c r="A26" s="102" t="s">
        <v>1060</v>
      </c>
      <c r="B26" s="102" t="s">
        <v>858</v>
      </c>
      <c r="C26" s="102" t="s">
        <v>854</v>
      </c>
      <c r="D26" s="103">
        <v>1</v>
      </c>
    </row>
    <row r="27" spans="1:4" ht="28.8">
      <c r="A27" s="104" t="s">
        <v>1095</v>
      </c>
      <c r="B27" s="104" t="s">
        <v>862</v>
      </c>
      <c r="C27" s="104" t="s">
        <v>854</v>
      </c>
      <c r="D27" s="68">
        <v>1</v>
      </c>
    </row>
    <row r="28" spans="1:4" ht="28.8">
      <c r="A28" s="102" t="s">
        <v>1025</v>
      </c>
      <c r="B28" s="102" t="s">
        <v>402</v>
      </c>
      <c r="C28" s="102" t="s">
        <v>850</v>
      </c>
      <c r="D28" s="103">
        <v>1</v>
      </c>
    </row>
    <row r="29" spans="1:4" ht="28.8">
      <c r="A29" s="104" t="s">
        <v>1108</v>
      </c>
      <c r="B29" s="104" t="s">
        <v>893</v>
      </c>
      <c r="C29" s="104" t="s">
        <v>853</v>
      </c>
      <c r="D29" s="68">
        <v>1</v>
      </c>
    </row>
    <row r="30" spans="1:4" ht="28.8">
      <c r="A30" s="102" t="s">
        <v>1040</v>
      </c>
      <c r="B30" s="102" t="s">
        <v>872</v>
      </c>
      <c r="C30" s="102" t="s">
        <v>999</v>
      </c>
      <c r="D30" s="103">
        <v>1</v>
      </c>
    </row>
    <row r="31" spans="1:4" ht="28.8">
      <c r="A31" s="104" t="s">
        <v>1066</v>
      </c>
      <c r="B31" s="104" t="s">
        <v>885</v>
      </c>
      <c r="C31" s="104" t="s">
        <v>28</v>
      </c>
      <c r="D31" s="68">
        <v>1</v>
      </c>
    </row>
    <row r="32" spans="1:4" ht="28.8">
      <c r="A32" s="102" t="s">
        <v>1135</v>
      </c>
      <c r="B32" s="102" t="s">
        <v>872</v>
      </c>
      <c r="C32" s="102" t="s">
        <v>999</v>
      </c>
      <c r="D32" s="103">
        <v>1</v>
      </c>
    </row>
    <row r="33" spans="1:4" ht="28.8">
      <c r="A33" s="104" t="s">
        <v>1058</v>
      </c>
      <c r="B33" s="104" t="s">
        <v>861</v>
      </c>
      <c r="C33" s="104" t="s">
        <v>854</v>
      </c>
      <c r="D33" s="68">
        <v>1</v>
      </c>
    </row>
    <row r="34" spans="1:4" ht="28.8">
      <c r="A34" s="102" t="s">
        <v>1068</v>
      </c>
      <c r="B34" s="102" t="s">
        <v>863</v>
      </c>
      <c r="C34" s="102" t="s">
        <v>854</v>
      </c>
      <c r="D34" s="103">
        <v>1</v>
      </c>
    </row>
    <row r="35" spans="1:4" ht="28.8">
      <c r="A35" s="104" t="s">
        <v>1084</v>
      </c>
      <c r="B35" s="104" t="s">
        <v>893</v>
      </c>
      <c r="C35" s="104" t="s">
        <v>853</v>
      </c>
      <c r="D35" s="68">
        <v>1</v>
      </c>
    </row>
    <row r="36" spans="1:4" ht="28.8">
      <c r="A36" s="102" t="s">
        <v>1110</v>
      </c>
      <c r="B36" s="102" t="s">
        <v>874</v>
      </c>
      <c r="C36" s="102" t="s">
        <v>999</v>
      </c>
      <c r="D36" s="103">
        <v>1</v>
      </c>
    </row>
    <row r="37" spans="1:4" ht="28.8">
      <c r="A37" s="104" t="s">
        <v>1070</v>
      </c>
      <c r="B37" s="104" t="s">
        <v>891</v>
      </c>
      <c r="C37" s="104" t="s">
        <v>999</v>
      </c>
      <c r="D37" s="68">
        <v>1</v>
      </c>
    </row>
    <row r="38" spans="1:4" ht="28.8">
      <c r="A38" s="102" t="s">
        <v>1078</v>
      </c>
      <c r="B38" s="102" t="s">
        <v>824</v>
      </c>
      <c r="C38" s="102" t="s">
        <v>853</v>
      </c>
      <c r="D38" s="103">
        <v>1</v>
      </c>
    </row>
    <row r="39" spans="1:4" ht="28.8">
      <c r="A39" s="104" t="s">
        <v>1137</v>
      </c>
      <c r="B39" s="104" t="s">
        <v>879</v>
      </c>
      <c r="C39" s="104" t="s">
        <v>850</v>
      </c>
      <c r="D39" s="68">
        <v>1</v>
      </c>
    </row>
    <row r="40" spans="1:4" ht="28.8">
      <c r="A40" s="102" t="s">
        <v>1089</v>
      </c>
      <c r="B40" s="102" t="s">
        <v>868</v>
      </c>
      <c r="C40" s="102" t="s">
        <v>851</v>
      </c>
      <c r="D40" s="103">
        <v>1</v>
      </c>
    </row>
    <row r="41" spans="1:4" ht="28.8">
      <c r="A41" s="104" t="s">
        <v>1129</v>
      </c>
      <c r="B41" s="104" t="s">
        <v>881</v>
      </c>
      <c r="C41" s="104" t="s">
        <v>853</v>
      </c>
      <c r="D41" s="68">
        <v>1</v>
      </c>
    </row>
    <row r="42" spans="1:4" ht="28.8">
      <c r="A42" s="102" t="s">
        <v>1054</v>
      </c>
      <c r="B42" s="102" t="s">
        <v>881</v>
      </c>
      <c r="C42" s="102" t="s">
        <v>853</v>
      </c>
      <c r="D42" s="103">
        <v>1</v>
      </c>
    </row>
    <row r="43" spans="1:4" ht="28.8">
      <c r="A43" s="104" t="s">
        <v>1062</v>
      </c>
      <c r="B43" s="104" t="s">
        <v>858</v>
      </c>
      <c r="C43" s="104" t="s">
        <v>854</v>
      </c>
      <c r="D43" s="68">
        <v>1</v>
      </c>
    </row>
    <row r="44" spans="1:4" ht="28.8">
      <c r="A44" s="102" t="s">
        <v>1036</v>
      </c>
      <c r="B44" s="102" t="s">
        <v>883</v>
      </c>
      <c r="C44" s="102" t="s">
        <v>853</v>
      </c>
      <c r="D44" s="103">
        <v>1</v>
      </c>
    </row>
    <row r="45" spans="1:4" ht="28.8">
      <c r="A45" s="104" t="s">
        <v>1149</v>
      </c>
      <c r="B45" s="104" t="s">
        <v>887</v>
      </c>
      <c r="C45" s="104" t="s">
        <v>28</v>
      </c>
      <c r="D45" s="68">
        <v>1</v>
      </c>
    </row>
    <row r="46" spans="1:4" ht="28.8">
      <c r="A46" s="102" t="s">
        <v>1076</v>
      </c>
      <c r="B46" s="102" t="s">
        <v>895</v>
      </c>
      <c r="C46" s="102" t="s">
        <v>854</v>
      </c>
      <c r="D46" s="103">
        <v>1</v>
      </c>
    </row>
    <row r="47" spans="1:4" ht="28.8">
      <c r="A47" s="104" t="s">
        <v>1146</v>
      </c>
      <c r="B47" s="104" t="s">
        <v>895</v>
      </c>
      <c r="C47" s="104" t="s">
        <v>854</v>
      </c>
      <c r="D47" s="68">
        <v>1</v>
      </c>
    </row>
    <row r="48" spans="1:4" ht="28.8">
      <c r="A48" s="102" t="s">
        <v>1021</v>
      </c>
      <c r="B48" s="102" t="s">
        <v>892</v>
      </c>
      <c r="C48" s="102" t="s">
        <v>853</v>
      </c>
      <c r="D48" s="103">
        <v>1</v>
      </c>
    </row>
    <row r="49" spans="1:4" ht="28.8">
      <c r="A49" s="104" t="s">
        <v>1124</v>
      </c>
      <c r="B49" s="104" t="s">
        <v>872</v>
      </c>
      <c r="C49" s="104" t="s">
        <v>999</v>
      </c>
      <c r="D49" s="68">
        <v>1</v>
      </c>
    </row>
    <row r="50" spans="1:4" ht="28.8">
      <c r="A50" s="102" t="s">
        <v>1027</v>
      </c>
      <c r="B50" s="102" t="s">
        <v>402</v>
      </c>
      <c r="C50" s="102" t="s">
        <v>850</v>
      </c>
      <c r="D50" s="103">
        <v>1</v>
      </c>
    </row>
    <row r="51" spans="1:4" ht="28.8">
      <c r="A51" s="104" t="s">
        <v>1082</v>
      </c>
      <c r="B51" s="104" t="s">
        <v>888</v>
      </c>
      <c r="C51" s="104" t="s">
        <v>28</v>
      </c>
      <c r="D51" s="68">
        <v>1</v>
      </c>
    </row>
    <row r="52" spans="1:4" ht="28.8">
      <c r="A52" s="102" t="s">
        <v>1056</v>
      </c>
      <c r="B52" s="102" t="s">
        <v>858</v>
      </c>
      <c r="C52" s="102" t="s">
        <v>854</v>
      </c>
      <c r="D52" s="103">
        <v>1</v>
      </c>
    </row>
  </sheetData>
  <autoFilter ref="A1:D31" xr:uid="{3C1A72AB-36CA-4411-963F-79A8DD53F22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7BE01-9D58-42D8-B0FF-E2C8A568DCF3}">
  <dimension ref="A1:K52"/>
  <sheetViews>
    <sheetView zoomScale="70" zoomScaleNormal="70" workbookViewId="0">
      <selection activeCell="B2" sqref="B2"/>
    </sheetView>
  </sheetViews>
  <sheetFormatPr defaultRowHeight="14.4"/>
  <cols>
    <col min="1" max="1" width="38" customWidth="1"/>
    <col min="2" max="3" width="14" customWidth="1"/>
    <col min="4" max="4" width="18" customWidth="1"/>
    <col min="5" max="9" width="14" customWidth="1"/>
    <col min="10" max="10" width="12" customWidth="1"/>
    <col min="11" max="11" width="10" customWidth="1"/>
  </cols>
  <sheetData>
    <row r="1" spans="1:11" ht="72">
      <c r="A1" s="101" t="s">
        <v>1007</v>
      </c>
      <c r="B1" s="101" t="s">
        <v>978</v>
      </c>
      <c r="C1" s="101" t="s">
        <v>980</v>
      </c>
      <c r="D1" s="101" t="s">
        <v>982</v>
      </c>
      <c r="E1" s="101" t="s">
        <v>984</v>
      </c>
      <c r="F1" s="101" t="s">
        <v>986</v>
      </c>
      <c r="G1" s="101" t="s">
        <v>988</v>
      </c>
      <c r="H1" s="101" t="s">
        <v>990</v>
      </c>
      <c r="I1" s="101" t="s">
        <v>992</v>
      </c>
      <c r="J1" s="101" t="s">
        <v>994</v>
      </c>
      <c r="K1" s="101" t="s">
        <v>1156</v>
      </c>
    </row>
    <row r="2" spans="1:11" ht="28.8">
      <c r="A2" s="102" t="s">
        <v>1052</v>
      </c>
      <c r="B2" s="103">
        <v>0</v>
      </c>
      <c r="C2" s="103">
        <v>0</v>
      </c>
      <c r="D2" s="103">
        <v>0</v>
      </c>
      <c r="E2" s="103">
        <v>0</v>
      </c>
      <c r="F2" s="103">
        <v>6</v>
      </c>
      <c r="G2" s="103">
        <v>0</v>
      </c>
      <c r="H2" s="103">
        <v>0</v>
      </c>
      <c r="I2" s="103">
        <v>0</v>
      </c>
      <c r="J2" s="103">
        <v>6</v>
      </c>
      <c r="K2" s="103">
        <v>12</v>
      </c>
    </row>
    <row r="3" spans="1:11" ht="28.8">
      <c r="A3" s="104" t="s">
        <v>1019</v>
      </c>
      <c r="B3" s="68">
        <v>0</v>
      </c>
      <c r="C3" s="68">
        <v>0</v>
      </c>
      <c r="D3" s="68">
        <v>1</v>
      </c>
      <c r="E3" s="68">
        <v>4</v>
      </c>
      <c r="F3" s="68">
        <v>3</v>
      </c>
      <c r="G3" s="68">
        <v>0</v>
      </c>
      <c r="H3" s="68">
        <v>0</v>
      </c>
      <c r="I3" s="68">
        <v>0</v>
      </c>
      <c r="J3" s="68">
        <v>0</v>
      </c>
      <c r="K3" s="68">
        <v>8</v>
      </c>
    </row>
    <row r="4" spans="1:11" ht="28.8">
      <c r="A4" s="102" t="s">
        <v>1046</v>
      </c>
      <c r="B4" s="103">
        <v>2</v>
      </c>
      <c r="C4" s="103">
        <v>0</v>
      </c>
      <c r="D4" s="103">
        <v>0</v>
      </c>
      <c r="E4" s="103">
        <v>2</v>
      </c>
      <c r="F4" s="103">
        <v>2</v>
      </c>
      <c r="G4" s="103">
        <v>0</v>
      </c>
      <c r="H4" s="103">
        <v>0</v>
      </c>
      <c r="I4" s="103">
        <v>0</v>
      </c>
      <c r="J4" s="103">
        <v>0</v>
      </c>
      <c r="K4" s="103">
        <v>6</v>
      </c>
    </row>
    <row r="5" spans="1:11" ht="28.8">
      <c r="A5" s="104" t="s">
        <v>1074</v>
      </c>
      <c r="B5" s="68">
        <v>1</v>
      </c>
      <c r="C5" s="68">
        <v>1</v>
      </c>
      <c r="D5" s="68">
        <v>0</v>
      </c>
      <c r="E5" s="68">
        <v>0</v>
      </c>
      <c r="F5" s="68">
        <v>1</v>
      </c>
      <c r="G5" s="68">
        <v>0</v>
      </c>
      <c r="H5" s="68">
        <v>3</v>
      </c>
      <c r="I5" s="68">
        <v>0</v>
      </c>
      <c r="J5" s="68">
        <v>0</v>
      </c>
      <c r="K5" s="68">
        <v>6</v>
      </c>
    </row>
    <row r="6" spans="1:11" ht="28.8">
      <c r="A6" s="102" t="s">
        <v>1017</v>
      </c>
      <c r="B6" s="103">
        <v>0</v>
      </c>
      <c r="C6" s="103">
        <v>0</v>
      </c>
      <c r="D6" s="103">
        <v>0</v>
      </c>
      <c r="E6" s="103">
        <v>0</v>
      </c>
      <c r="F6" s="103">
        <v>3</v>
      </c>
      <c r="G6" s="103">
        <v>0</v>
      </c>
      <c r="H6" s="103">
        <v>0</v>
      </c>
      <c r="I6" s="103">
        <v>0</v>
      </c>
      <c r="J6" s="103">
        <v>3</v>
      </c>
      <c r="K6" s="103">
        <v>6</v>
      </c>
    </row>
    <row r="7" spans="1:11" ht="28.8">
      <c r="A7" s="104" t="s">
        <v>1044</v>
      </c>
      <c r="B7" s="68">
        <v>0</v>
      </c>
      <c r="C7" s="68">
        <v>0</v>
      </c>
      <c r="D7" s="68">
        <v>0</v>
      </c>
      <c r="E7" s="68">
        <v>3</v>
      </c>
      <c r="F7" s="68">
        <v>0</v>
      </c>
      <c r="G7" s="68">
        <v>1</v>
      </c>
      <c r="H7" s="68">
        <v>0</v>
      </c>
      <c r="I7" s="68">
        <v>2</v>
      </c>
      <c r="J7" s="68">
        <v>0</v>
      </c>
      <c r="K7" s="68">
        <v>6</v>
      </c>
    </row>
    <row r="8" spans="1:11" ht="28.8">
      <c r="A8" s="102" t="s">
        <v>1031</v>
      </c>
      <c r="B8" s="103">
        <v>0</v>
      </c>
      <c r="C8" s="103">
        <v>0</v>
      </c>
      <c r="D8" s="103">
        <v>0</v>
      </c>
      <c r="E8" s="103">
        <v>3</v>
      </c>
      <c r="F8" s="103">
        <v>1</v>
      </c>
      <c r="G8" s="103">
        <v>0</v>
      </c>
      <c r="H8" s="103">
        <v>0</v>
      </c>
      <c r="I8" s="103">
        <v>1</v>
      </c>
      <c r="J8" s="103">
        <v>0</v>
      </c>
      <c r="K8" s="103">
        <v>5</v>
      </c>
    </row>
    <row r="9" spans="1:11" ht="28.8">
      <c r="A9" s="104" t="s">
        <v>1023</v>
      </c>
      <c r="B9" s="68">
        <v>0</v>
      </c>
      <c r="C9" s="68">
        <v>0</v>
      </c>
      <c r="D9" s="68">
        <v>0</v>
      </c>
      <c r="E9" s="68">
        <v>0</v>
      </c>
      <c r="F9" s="68">
        <v>0</v>
      </c>
      <c r="G9" s="68">
        <v>2</v>
      </c>
      <c r="H9" s="68">
        <v>0</v>
      </c>
      <c r="I9" s="68">
        <v>2</v>
      </c>
      <c r="J9" s="68">
        <v>0</v>
      </c>
      <c r="K9" s="68">
        <v>4</v>
      </c>
    </row>
    <row r="10" spans="1:11" ht="28.8">
      <c r="A10" s="102" t="s">
        <v>1133</v>
      </c>
      <c r="B10" s="103">
        <v>0</v>
      </c>
      <c r="C10" s="103">
        <v>0</v>
      </c>
      <c r="D10" s="103">
        <v>1</v>
      </c>
      <c r="E10" s="103">
        <v>0</v>
      </c>
      <c r="F10" s="103">
        <v>0</v>
      </c>
      <c r="G10" s="103">
        <v>2</v>
      </c>
      <c r="H10" s="103">
        <v>0</v>
      </c>
      <c r="I10" s="103">
        <v>0</v>
      </c>
      <c r="J10" s="103">
        <v>1</v>
      </c>
      <c r="K10" s="103">
        <v>4</v>
      </c>
    </row>
    <row r="11" spans="1:11" ht="28.8">
      <c r="A11" s="104" t="s">
        <v>1038</v>
      </c>
      <c r="B11" s="68">
        <v>0</v>
      </c>
      <c r="C11" s="68">
        <v>0</v>
      </c>
      <c r="D11" s="68">
        <v>0</v>
      </c>
      <c r="E11" s="68">
        <v>2</v>
      </c>
      <c r="F11" s="68">
        <v>0</v>
      </c>
      <c r="G11" s="68">
        <v>0</v>
      </c>
      <c r="H11" s="68">
        <v>0</v>
      </c>
      <c r="I11" s="68">
        <v>0</v>
      </c>
      <c r="J11" s="68">
        <v>2</v>
      </c>
      <c r="K11" s="68">
        <v>4</v>
      </c>
    </row>
    <row r="12" spans="1:11" ht="28.8">
      <c r="A12" s="102" t="s">
        <v>1064</v>
      </c>
      <c r="B12" s="103">
        <v>0</v>
      </c>
      <c r="C12" s="103">
        <v>0</v>
      </c>
      <c r="D12" s="103">
        <v>0</v>
      </c>
      <c r="E12" s="103">
        <v>0</v>
      </c>
      <c r="F12" s="103">
        <v>2</v>
      </c>
      <c r="G12" s="103">
        <v>0</v>
      </c>
      <c r="H12" s="103">
        <v>0</v>
      </c>
      <c r="I12" s="103">
        <v>0</v>
      </c>
      <c r="J12" s="103">
        <v>2</v>
      </c>
      <c r="K12" s="103">
        <v>4</v>
      </c>
    </row>
    <row r="13" spans="1:11" ht="28.8">
      <c r="A13" s="104" t="s">
        <v>1050</v>
      </c>
      <c r="B13" s="68">
        <v>0</v>
      </c>
      <c r="C13" s="68">
        <v>0</v>
      </c>
      <c r="D13" s="68">
        <v>0</v>
      </c>
      <c r="E13" s="68">
        <v>0</v>
      </c>
      <c r="F13" s="68">
        <v>0</v>
      </c>
      <c r="G13" s="68">
        <v>0</v>
      </c>
      <c r="H13" s="68">
        <v>0</v>
      </c>
      <c r="I13" s="68">
        <v>2</v>
      </c>
      <c r="J13" s="68">
        <v>2</v>
      </c>
      <c r="K13" s="68">
        <v>4</v>
      </c>
    </row>
    <row r="14" spans="1:11" ht="28.8">
      <c r="A14" s="102" t="s">
        <v>1113</v>
      </c>
      <c r="B14" s="103">
        <v>0</v>
      </c>
      <c r="C14" s="103">
        <v>0</v>
      </c>
      <c r="D14" s="103">
        <v>0</v>
      </c>
      <c r="E14" s="103">
        <v>0</v>
      </c>
      <c r="F14" s="103">
        <v>2</v>
      </c>
      <c r="G14" s="103">
        <v>0</v>
      </c>
      <c r="H14" s="103">
        <v>0</v>
      </c>
      <c r="I14" s="103">
        <v>0</v>
      </c>
      <c r="J14" s="103">
        <v>2</v>
      </c>
      <c r="K14" s="103">
        <v>4</v>
      </c>
    </row>
    <row r="15" spans="1:11" ht="28.8">
      <c r="A15" s="104" t="s">
        <v>1141</v>
      </c>
      <c r="B15" s="68">
        <v>0</v>
      </c>
      <c r="C15" s="68">
        <v>0</v>
      </c>
      <c r="D15" s="68">
        <v>1</v>
      </c>
      <c r="E15" s="68">
        <v>0</v>
      </c>
      <c r="F15" s="68">
        <v>0</v>
      </c>
      <c r="G15" s="68">
        <v>2</v>
      </c>
      <c r="H15" s="68">
        <v>0</v>
      </c>
      <c r="I15" s="68">
        <v>0</v>
      </c>
      <c r="J15" s="68">
        <v>1</v>
      </c>
      <c r="K15" s="68">
        <v>4</v>
      </c>
    </row>
    <row r="16" spans="1:11" ht="28.8">
      <c r="A16" s="102" t="s">
        <v>1120</v>
      </c>
      <c r="B16" s="103">
        <v>0</v>
      </c>
      <c r="C16" s="103">
        <v>1</v>
      </c>
      <c r="D16" s="103">
        <v>0</v>
      </c>
      <c r="E16" s="103">
        <v>0</v>
      </c>
      <c r="F16" s="103">
        <v>1</v>
      </c>
      <c r="G16" s="103">
        <v>0</v>
      </c>
      <c r="H16" s="103">
        <v>0</v>
      </c>
      <c r="I16" s="103">
        <v>2</v>
      </c>
      <c r="J16" s="103">
        <v>0</v>
      </c>
      <c r="K16" s="103">
        <v>4</v>
      </c>
    </row>
    <row r="17" spans="1:11" ht="28.8">
      <c r="A17" s="104" t="s">
        <v>1106</v>
      </c>
      <c r="B17" s="68">
        <v>0</v>
      </c>
      <c r="C17" s="68">
        <v>0</v>
      </c>
      <c r="D17" s="68">
        <v>0</v>
      </c>
      <c r="E17" s="68">
        <v>0</v>
      </c>
      <c r="F17" s="68">
        <v>0</v>
      </c>
      <c r="G17" s="68">
        <v>2</v>
      </c>
      <c r="H17" s="68">
        <v>0</v>
      </c>
      <c r="I17" s="68">
        <v>2</v>
      </c>
      <c r="J17" s="68">
        <v>0</v>
      </c>
      <c r="K17" s="68">
        <v>4</v>
      </c>
    </row>
    <row r="18" spans="1:11" ht="28.8">
      <c r="A18" s="102" t="s">
        <v>1034</v>
      </c>
      <c r="B18" s="103">
        <v>1</v>
      </c>
      <c r="C18" s="103">
        <v>2</v>
      </c>
      <c r="D18" s="103">
        <v>1</v>
      </c>
      <c r="E18" s="103">
        <v>0</v>
      </c>
      <c r="F18" s="103">
        <v>0</v>
      </c>
      <c r="G18" s="103">
        <v>0</v>
      </c>
      <c r="H18" s="103">
        <v>0</v>
      </c>
      <c r="I18" s="103">
        <v>0</v>
      </c>
      <c r="J18" s="103">
        <v>0</v>
      </c>
      <c r="K18" s="103">
        <v>4</v>
      </c>
    </row>
    <row r="19" spans="1:11" ht="28.8">
      <c r="A19" s="104" t="s">
        <v>1029</v>
      </c>
      <c r="B19" s="68">
        <v>0</v>
      </c>
      <c r="C19" s="68">
        <v>0</v>
      </c>
      <c r="D19" s="68">
        <v>2</v>
      </c>
      <c r="E19" s="68">
        <v>2</v>
      </c>
      <c r="F19" s="68">
        <v>0</v>
      </c>
      <c r="G19" s="68">
        <v>0</v>
      </c>
      <c r="H19" s="68">
        <v>0</v>
      </c>
      <c r="I19" s="68">
        <v>0</v>
      </c>
      <c r="J19" s="68">
        <v>0</v>
      </c>
      <c r="K19" s="68">
        <v>4</v>
      </c>
    </row>
    <row r="20" spans="1:11" ht="28.8">
      <c r="A20" s="102" t="s">
        <v>1048</v>
      </c>
      <c r="B20" s="103">
        <v>0</v>
      </c>
      <c r="C20" s="103">
        <v>0</v>
      </c>
      <c r="D20" s="103">
        <v>0</v>
      </c>
      <c r="E20" s="103">
        <v>0</v>
      </c>
      <c r="F20" s="103">
        <v>0</v>
      </c>
      <c r="G20" s="103">
        <v>2</v>
      </c>
      <c r="H20" s="103">
        <v>0</v>
      </c>
      <c r="I20" s="103">
        <v>0</v>
      </c>
      <c r="J20" s="103">
        <v>2</v>
      </c>
      <c r="K20" s="103">
        <v>4</v>
      </c>
    </row>
    <row r="21" spans="1:11" ht="28.8">
      <c r="A21" s="104" t="s">
        <v>1104</v>
      </c>
      <c r="B21" s="68">
        <v>2</v>
      </c>
      <c r="C21" s="68">
        <v>0</v>
      </c>
      <c r="D21" s="68">
        <v>0</v>
      </c>
      <c r="E21" s="68">
        <v>0</v>
      </c>
      <c r="F21" s="68">
        <v>0</v>
      </c>
      <c r="G21" s="68">
        <v>0</v>
      </c>
      <c r="H21" s="68">
        <v>0</v>
      </c>
      <c r="I21" s="68">
        <v>2</v>
      </c>
      <c r="J21" s="68">
        <v>0</v>
      </c>
      <c r="K21" s="68">
        <v>4</v>
      </c>
    </row>
    <row r="22" spans="1:11" ht="28.8">
      <c r="A22" s="102" t="s">
        <v>1086</v>
      </c>
      <c r="B22" s="103">
        <v>1</v>
      </c>
      <c r="C22" s="103">
        <v>1</v>
      </c>
      <c r="D22" s="103">
        <v>0</v>
      </c>
      <c r="E22" s="103">
        <v>0</v>
      </c>
      <c r="F22" s="103">
        <v>0</v>
      </c>
      <c r="G22" s="103">
        <v>0</v>
      </c>
      <c r="H22" s="103">
        <v>0</v>
      </c>
      <c r="I22" s="103">
        <v>2</v>
      </c>
      <c r="J22" s="103">
        <v>0</v>
      </c>
      <c r="K22" s="103">
        <v>4</v>
      </c>
    </row>
    <row r="23" spans="1:11" ht="28.8">
      <c r="A23" s="104" t="s">
        <v>1080</v>
      </c>
      <c r="B23" s="68">
        <v>0</v>
      </c>
      <c r="C23" s="68">
        <v>1</v>
      </c>
      <c r="D23" s="68">
        <v>1</v>
      </c>
      <c r="E23" s="68">
        <v>0</v>
      </c>
      <c r="F23" s="68">
        <v>0</v>
      </c>
      <c r="G23" s="68">
        <v>0</v>
      </c>
      <c r="H23" s="68">
        <v>0</v>
      </c>
      <c r="I23" s="68">
        <v>2</v>
      </c>
      <c r="J23" s="68">
        <v>0</v>
      </c>
      <c r="K23" s="68">
        <v>4</v>
      </c>
    </row>
    <row r="24" spans="1:11">
      <c r="A24" s="102" t="s">
        <v>1042</v>
      </c>
      <c r="B24" s="103">
        <v>1</v>
      </c>
      <c r="C24" s="103">
        <v>0</v>
      </c>
      <c r="D24" s="103">
        <v>0</v>
      </c>
      <c r="E24" s="103">
        <v>1</v>
      </c>
      <c r="F24" s="103">
        <v>0</v>
      </c>
      <c r="G24" s="103">
        <v>0</v>
      </c>
      <c r="H24" s="103">
        <v>0</v>
      </c>
      <c r="I24" s="103">
        <v>0</v>
      </c>
      <c r="J24" s="103">
        <v>0</v>
      </c>
      <c r="K24" s="103">
        <v>2</v>
      </c>
    </row>
    <row r="25" spans="1:11" ht="28.8">
      <c r="A25" s="104" t="s">
        <v>1099</v>
      </c>
      <c r="B25" s="68">
        <v>1</v>
      </c>
      <c r="C25" s="68">
        <v>0</v>
      </c>
      <c r="D25" s="68">
        <v>0</v>
      </c>
      <c r="E25" s="68">
        <v>0</v>
      </c>
      <c r="F25" s="68">
        <v>1</v>
      </c>
      <c r="G25" s="68">
        <v>0</v>
      </c>
      <c r="H25" s="68">
        <v>0</v>
      </c>
      <c r="I25" s="68">
        <v>0</v>
      </c>
      <c r="J25" s="68">
        <v>0</v>
      </c>
      <c r="K25" s="68">
        <v>2</v>
      </c>
    </row>
    <row r="26" spans="1:11" ht="28.8">
      <c r="A26" s="102" t="s">
        <v>1060</v>
      </c>
      <c r="B26" s="103">
        <v>0</v>
      </c>
      <c r="C26" s="103">
        <v>1</v>
      </c>
      <c r="D26" s="103">
        <v>1</v>
      </c>
      <c r="E26" s="103">
        <v>0</v>
      </c>
      <c r="F26" s="103">
        <v>0</v>
      </c>
      <c r="G26" s="103">
        <v>0</v>
      </c>
      <c r="H26" s="103">
        <v>0</v>
      </c>
      <c r="I26" s="103">
        <v>0</v>
      </c>
      <c r="J26" s="103">
        <v>0</v>
      </c>
      <c r="K26" s="103">
        <v>2</v>
      </c>
    </row>
    <row r="27" spans="1:11" ht="28.8">
      <c r="A27" s="104" t="s">
        <v>1095</v>
      </c>
      <c r="B27" s="68">
        <v>0</v>
      </c>
      <c r="C27" s="68">
        <v>1</v>
      </c>
      <c r="D27" s="68">
        <v>1</v>
      </c>
      <c r="E27" s="68">
        <v>0</v>
      </c>
      <c r="F27" s="68">
        <v>0</v>
      </c>
      <c r="G27" s="68">
        <v>0</v>
      </c>
      <c r="H27" s="68">
        <v>0</v>
      </c>
      <c r="I27" s="68">
        <v>0</v>
      </c>
      <c r="J27" s="68">
        <v>0</v>
      </c>
      <c r="K27" s="68">
        <v>2</v>
      </c>
    </row>
    <row r="28" spans="1:11">
      <c r="A28" s="102" t="s">
        <v>1025</v>
      </c>
      <c r="B28" s="103">
        <v>0</v>
      </c>
      <c r="C28" s="103">
        <v>1</v>
      </c>
      <c r="D28" s="103">
        <v>1</v>
      </c>
      <c r="E28" s="103">
        <v>0</v>
      </c>
      <c r="F28" s="103">
        <v>0</v>
      </c>
      <c r="G28" s="103">
        <v>0</v>
      </c>
      <c r="H28" s="103">
        <v>0</v>
      </c>
      <c r="I28" s="103">
        <v>0</v>
      </c>
      <c r="J28" s="103">
        <v>0</v>
      </c>
      <c r="K28" s="103">
        <v>2</v>
      </c>
    </row>
    <row r="29" spans="1:11" ht="28.8">
      <c r="A29" s="104" t="s">
        <v>1108</v>
      </c>
      <c r="B29" s="68">
        <v>0</v>
      </c>
      <c r="C29" s="68">
        <v>0</v>
      </c>
      <c r="D29" s="68">
        <v>0</v>
      </c>
      <c r="E29" s="68">
        <v>0</v>
      </c>
      <c r="F29" s="68">
        <v>0</v>
      </c>
      <c r="G29" s="68">
        <v>1</v>
      </c>
      <c r="H29" s="68">
        <v>0</v>
      </c>
      <c r="I29" s="68">
        <v>1</v>
      </c>
      <c r="J29" s="68">
        <v>0</v>
      </c>
      <c r="K29" s="68">
        <v>2</v>
      </c>
    </row>
    <row r="30" spans="1:11" ht="28.8">
      <c r="A30" s="102" t="s">
        <v>1040</v>
      </c>
      <c r="B30" s="103">
        <v>0</v>
      </c>
      <c r="C30" s="103">
        <v>0</v>
      </c>
      <c r="D30" s="103">
        <v>0</v>
      </c>
      <c r="E30" s="103">
        <v>1</v>
      </c>
      <c r="F30" s="103">
        <v>1</v>
      </c>
      <c r="G30" s="103">
        <v>0</v>
      </c>
      <c r="H30" s="103">
        <v>0</v>
      </c>
      <c r="I30" s="103">
        <v>0</v>
      </c>
      <c r="J30" s="103">
        <v>0</v>
      </c>
      <c r="K30" s="103">
        <v>2</v>
      </c>
    </row>
    <row r="31" spans="1:11" ht="28.8">
      <c r="A31" s="104" t="s">
        <v>1066</v>
      </c>
      <c r="B31" s="68">
        <v>0</v>
      </c>
      <c r="C31" s="68">
        <v>0</v>
      </c>
      <c r="D31" s="68">
        <v>0</v>
      </c>
      <c r="E31" s="68">
        <v>0</v>
      </c>
      <c r="F31" s="68">
        <v>1</v>
      </c>
      <c r="G31" s="68">
        <v>0</v>
      </c>
      <c r="H31" s="68">
        <v>0</v>
      </c>
      <c r="I31" s="68">
        <v>0</v>
      </c>
      <c r="J31" s="68">
        <v>1</v>
      </c>
      <c r="K31" s="68">
        <v>2</v>
      </c>
    </row>
    <row r="32" spans="1:11" ht="28.8">
      <c r="A32" s="102" t="s">
        <v>1135</v>
      </c>
      <c r="B32" s="103">
        <v>0</v>
      </c>
      <c r="C32" s="103">
        <v>0</v>
      </c>
      <c r="D32" s="103">
        <v>0</v>
      </c>
      <c r="E32" s="103">
        <v>1</v>
      </c>
      <c r="F32" s="103">
        <v>1</v>
      </c>
      <c r="G32" s="103">
        <v>0</v>
      </c>
      <c r="H32" s="103">
        <v>0</v>
      </c>
      <c r="I32" s="103">
        <v>0</v>
      </c>
      <c r="J32" s="103">
        <v>0</v>
      </c>
      <c r="K32" s="103">
        <v>2</v>
      </c>
    </row>
    <row r="33" spans="1:11" ht="28.8">
      <c r="A33" s="104" t="s">
        <v>1058</v>
      </c>
      <c r="B33" s="68">
        <v>0</v>
      </c>
      <c r="C33" s="68">
        <v>0</v>
      </c>
      <c r="D33" s="68">
        <v>0</v>
      </c>
      <c r="E33" s="68">
        <v>1</v>
      </c>
      <c r="F33" s="68">
        <v>0</v>
      </c>
      <c r="G33" s="68">
        <v>0</v>
      </c>
      <c r="H33" s="68">
        <v>0</v>
      </c>
      <c r="I33" s="68">
        <v>0</v>
      </c>
      <c r="J33" s="68">
        <v>1</v>
      </c>
      <c r="K33" s="68">
        <v>2</v>
      </c>
    </row>
    <row r="34" spans="1:11" ht="28.8">
      <c r="A34" s="102" t="s">
        <v>1068</v>
      </c>
      <c r="B34" s="103">
        <v>0</v>
      </c>
      <c r="C34" s="103">
        <v>0</v>
      </c>
      <c r="D34" s="103">
        <v>0</v>
      </c>
      <c r="E34" s="103">
        <v>0</v>
      </c>
      <c r="F34" s="103">
        <v>1</v>
      </c>
      <c r="G34" s="103">
        <v>0</v>
      </c>
      <c r="H34" s="103">
        <v>0</v>
      </c>
      <c r="I34" s="103">
        <v>0</v>
      </c>
      <c r="J34" s="103">
        <v>1</v>
      </c>
      <c r="K34" s="103">
        <v>2</v>
      </c>
    </row>
    <row r="35" spans="1:11" ht="28.8">
      <c r="A35" s="104" t="s">
        <v>1084</v>
      </c>
      <c r="B35" s="68">
        <v>0</v>
      </c>
      <c r="C35" s="68">
        <v>0</v>
      </c>
      <c r="D35" s="68">
        <v>0</v>
      </c>
      <c r="E35" s="68">
        <v>0</v>
      </c>
      <c r="F35" s="68">
        <v>0</v>
      </c>
      <c r="G35" s="68">
        <v>1</v>
      </c>
      <c r="H35" s="68">
        <v>0</v>
      </c>
      <c r="I35" s="68">
        <v>1</v>
      </c>
      <c r="J35" s="68">
        <v>0</v>
      </c>
      <c r="K35" s="68">
        <v>2</v>
      </c>
    </row>
    <row r="36" spans="1:11" ht="28.8">
      <c r="A36" s="102" t="s">
        <v>1110</v>
      </c>
      <c r="B36" s="103">
        <v>1</v>
      </c>
      <c r="C36" s="103">
        <v>0</v>
      </c>
      <c r="D36" s="103">
        <v>0</v>
      </c>
      <c r="E36" s="103">
        <v>1</v>
      </c>
      <c r="F36" s="103">
        <v>0</v>
      </c>
      <c r="G36" s="103">
        <v>0</v>
      </c>
      <c r="H36" s="103">
        <v>0</v>
      </c>
      <c r="I36" s="103">
        <v>0</v>
      </c>
      <c r="J36" s="103">
        <v>0</v>
      </c>
      <c r="K36" s="103">
        <v>2</v>
      </c>
    </row>
    <row r="37" spans="1:11">
      <c r="A37" s="104" t="s">
        <v>1070</v>
      </c>
      <c r="B37" s="68">
        <v>1</v>
      </c>
      <c r="C37" s="68">
        <v>0</v>
      </c>
      <c r="D37" s="68">
        <v>0</v>
      </c>
      <c r="E37" s="68">
        <v>1</v>
      </c>
      <c r="F37" s="68">
        <v>0</v>
      </c>
      <c r="G37" s="68">
        <v>0</v>
      </c>
      <c r="H37" s="68">
        <v>0</v>
      </c>
      <c r="I37" s="68">
        <v>0</v>
      </c>
      <c r="J37" s="68">
        <v>0</v>
      </c>
      <c r="K37" s="68">
        <v>2</v>
      </c>
    </row>
    <row r="38" spans="1:11" ht="28.8">
      <c r="A38" s="102" t="s">
        <v>1078</v>
      </c>
      <c r="B38" s="103">
        <v>1</v>
      </c>
      <c r="C38" s="103">
        <v>0</v>
      </c>
      <c r="D38" s="103">
        <v>0</v>
      </c>
      <c r="E38" s="103">
        <v>0</v>
      </c>
      <c r="F38" s="103">
        <v>0</v>
      </c>
      <c r="G38" s="103">
        <v>0</v>
      </c>
      <c r="H38" s="103">
        <v>0</v>
      </c>
      <c r="I38" s="103">
        <v>1</v>
      </c>
      <c r="J38" s="103">
        <v>0</v>
      </c>
      <c r="K38" s="103">
        <v>2</v>
      </c>
    </row>
    <row r="39" spans="1:11" ht="28.8">
      <c r="A39" s="104" t="s">
        <v>1137</v>
      </c>
      <c r="B39" s="68">
        <v>0</v>
      </c>
      <c r="C39" s="68">
        <v>0</v>
      </c>
      <c r="D39" s="68">
        <v>1</v>
      </c>
      <c r="E39" s="68">
        <v>0</v>
      </c>
      <c r="F39" s="68">
        <v>1</v>
      </c>
      <c r="G39" s="68">
        <v>0</v>
      </c>
      <c r="H39" s="68">
        <v>0</v>
      </c>
      <c r="I39" s="68">
        <v>0</v>
      </c>
      <c r="J39" s="68">
        <v>0</v>
      </c>
      <c r="K39" s="68">
        <v>2</v>
      </c>
    </row>
    <row r="40" spans="1:11" ht="28.8">
      <c r="A40" s="102" t="s">
        <v>1089</v>
      </c>
      <c r="B40" s="103">
        <v>0</v>
      </c>
      <c r="C40" s="103">
        <v>0</v>
      </c>
      <c r="D40" s="103">
        <v>1</v>
      </c>
      <c r="E40" s="103">
        <v>1</v>
      </c>
      <c r="F40" s="103">
        <v>0</v>
      </c>
      <c r="G40" s="103">
        <v>0</v>
      </c>
      <c r="H40" s="103">
        <v>0</v>
      </c>
      <c r="I40" s="103">
        <v>0</v>
      </c>
      <c r="J40" s="103">
        <v>0</v>
      </c>
      <c r="K40" s="103">
        <v>2</v>
      </c>
    </row>
    <row r="41" spans="1:11" ht="28.8">
      <c r="A41" s="104" t="s">
        <v>1129</v>
      </c>
      <c r="B41" s="68">
        <v>1</v>
      </c>
      <c r="C41" s="68">
        <v>0</v>
      </c>
      <c r="D41" s="68">
        <v>0</v>
      </c>
      <c r="E41" s="68">
        <v>0</v>
      </c>
      <c r="F41" s="68">
        <v>0</v>
      </c>
      <c r="G41" s="68">
        <v>0</v>
      </c>
      <c r="H41" s="68">
        <v>0</v>
      </c>
      <c r="I41" s="68">
        <v>1</v>
      </c>
      <c r="J41" s="68">
        <v>0</v>
      </c>
      <c r="K41" s="68">
        <v>2</v>
      </c>
    </row>
    <row r="42" spans="1:11" ht="28.8">
      <c r="A42" s="102" t="s">
        <v>1054</v>
      </c>
      <c r="B42" s="103">
        <v>1</v>
      </c>
      <c r="C42" s="103">
        <v>1</v>
      </c>
      <c r="D42" s="103">
        <v>0</v>
      </c>
      <c r="E42" s="103">
        <v>0</v>
      </c>
      <c r="F42" s="103">
        <v>0</v>
      </c>
      <c r="G42" s="103">
        <v>0</v>
      </c>
      <c r="H42" s="103">
        <v>0</v>
      </c>
      <c r="I42" s="103">
        <v>0</v>
      </c>
      <c r="J42" s="103">
        <v>0</v>
      </c>
      <c r="K42" s="103">
        <v>2</v>
      </c>
    </row>
    <row r="43" spans="1:11" ht="28.8">
      <c r="A43" s="104" t="s">
        <v>1062</v>
      </c>
      <c r="B43" s="68">
        <v>1</v>
      </c>
      <c r="C43" s="68">
        <v>1</v>
      </c>
      <c r="D43" s="68">
        <v>0</v>
      </c>
      <c r="E43" s="68">
        <v>0</v>
      </c>
      <c r="F43" s="68">
        <v>0</v>
      </c>
      <c r="G43" s="68">
        <v>0</v>
      </c>
      <c r="H43" s="68">
        <v>0</v>
      </c>
      <c r="I43" s="68">
        <v>0</v>
      </c>
      <c r="J43" s="68">
        <v>0</v>
      </c>
      <c r="K43" s="68">
        <v>2</v>
      </c>
    </row>
    <row r="44" spans="1:11" ht="28.8">
      <c r="A44" s="102" t="s">
        <v>1036</v>
      </c>
      <c r="B44" s="103">
        <v>0</v>
      </c>
      <c r="C44" s="103">
        <v>0</v>
      </c>
      <c r="D44" s="103">
        <v>0</v>
      </c>
      <c r="E44" s="103">
        <v>0</v>
      </c>
      <c r="F44" s="103">
        <v>0</v>
      </c>
      <c r="G44" s="103">
        <v>1</v>
      </c>
      <c r="H44" s="103">
        <v>0</v>
      </c>
      <c r="I44" s="103">
        <v>0</v>
      </c>
      <c r="J44" s="103">
        <v>1</v>
      </c>
      <c r="K44" s="103">
        <v>2</v>
      </c>
    </row>
    <row r="45" spans="1:11" ht="28.8">
      <c r="A45" s="104" t="s">
        <v>1149</v>
      </c>
      <c r="B45" s="68">
        <v>0</v>
      </c>
      <c r="C45" s="68">
        <v>0</v>
      </c>
      <c r="D45" s="68">
        <v>0</v>
      </c>
      <c r="E45" s="68">
        <v>0</v>
      </c>
      <c r="F45" s="68">
        <v>1</v>
      </c>
      <c r="G45" s="68">
        <v>0</v>
      </c>
      <c r="H45" s="68">
        <v>0</v>
      </c>
      <c r="I45" s="68">
        <v>0</v>
      </c>
      <c r="J45" s="68">
        <v>1</v>
      </c>
      <c r="K45" s="68">
        <v>2</v>
      </c>
    </row>
    <row r="46" spans="1:11" ht="28.8">
      <c r="A46" s="102" t="s">
        <v>1076</v>
      </c>
      <c r="B46" s="103">
        <v>1</v>
      </c>
      <c r="C46" s="103">
        <v>0</v>
      </c>
      <c r="D46" s="103">
        <v>0</v>
      </c>
      <c r="E46" s="103">
        <v>0</v>
      </c>
      <c r="F46" s="103">
        <v>0</v>
      </c>
      <c r="G46" s="103">
        <v>1</v>
      </c>
      <c r="H46" s="103">
        <v>0</v>
      </c>
      <c r="I46" s="103">
        <v>0</v>
      </c>
      <c r="J46" s="103">
        <v>0</v>
      </c>
      <c r="K46" s="103">
        <v>2</v>
      </c>
    </row>
    <row r="47" spans="1:11" ht="28.8">
      <c r="A47" s="104" t="s">
        <v>1146</v>
      </c>
      <c r="B47" s="68">
        <v>1</v>
      </c>
      <c r="C47" s="68">
        <v>0</v>
      </c>
      <c r="D47" s="68">
        <v>0</v>
      </c>
      <c r="E47" s="68">
        <v>0</v>
      </c>
      <c r="F47" s="68">
        <v>0</v>
      </c>
      <c r="G47" s="68">
        <v>1</v>
      </c>
      <c r="H47" s="68">
        <v>0</v>
      </c>
      <c r="I47" s="68">
        <v>0</v>
      </c>
      <c r="J47" s="68">
        <v>0</v>
      </c>
      <c r="K47" s="68">
        <v>2</v>
      </c>
    </row>
    <row r="48" spans="1:11" ht="28.8">
      <c r="A48" s="102" t="s">
        <v>1021</v>
      </c>
      <c r="B48" s="103">
        <v>1</v>
      </c>
      <c r="C48" s="103">
        <v>0</v>
      </c>
      <c r="D48" s="103">
        <v>0</v>
      </c>
      <c r="E48" s="103">
        <v>0</v>
      </c>
      <c r="F48" s="103">
        <v>0</v>
      </c>
      <c r="G48" s="103">
        <v>0</v>
      </c>
      <c r="H48" s="103">
        <v>0</v>
      </c>
      <c r="I48" s="103">
        <v>1</v>
      </c>
      <c r="J48" s="103">
        <v>0</v>
      </c>
      <c r="K48" s="103">
        <v>2</v>
      </c>
    </row>
    <row r="49" spans="1:11" ht="28.8">
      <c r="A49" s="104" t="s">
        <v>1124</v>
      </c>
      <c r="B49" s="68">
        <v>0</v>
      </c>
      <c r="C49" s="68">
        <v>0</v>
      </c>
      <c r="D49" s="68">
        <v>0</v>
      </c>
      <c r="E49" s="68">
        <v>1</v>
      </c>
      <c r="F49" s="68">
        <v>1</v>
      </c>
      <c r="G49" s="68">
        <v>0</v>
      </c>
      <c r="H49" s="68">
        <v>0</v>
      </c>
      <c r="I49" s="68">
        <v>0</v>
      </c>
      <c r="J49" s="68">
        <v>0</v>
      </c>
      <c r="K49" s="68">
        <v>2</v>
      </c>
    </row>
    <row r="50" spans="1:11" ht="28.8">
      <c r="A50" s="102" t="s">
        <v>1027</v>
      </c>
      <c r="B50" s="103">
        <v>0</v>
      </c>
      <c r="C50" s="103">
        <v>0</v>
      </c>
      <c r="D50" s="103">
        <v>1</v>
      </c>
      <c r="E50" s="103">
        <v>0</v>
      </c>
      <c r="F50" s="103">
        <v>0</v>
      </c>
      <c r="G50" s="103">
        <v>0</v>
      </c>
      <c r="H50" s="103">
        <v>1</v>
      </c>
      <c r="I50" s="103">
        <v>0</v>
      </c>
      <c r="J50" s="103">
        <v>0</v>
      </c>
      <c r="K50" s="103">
        <v>2</v>
      </c>
    </row>
    <row r="51" spans="1:11" ht="28.8">
      <c r="A51" s="104" t="s">
        <v>1082</v>
      </c>
      <c r="B51" s="68">
        <v>0</v>
      </c>
      <c r="C51" s="68">
        <v>0</v>
      </c>
      <c r="D51" s="68">
        <v>0</v>
      </c>
      <c r="E51" s="68">
        <v>0</v>
      </c>
      <c r="F51" s="68">
        <v>0</v>
      </c>
      <c r="G51" s="68">
        <v>0</v>
      </c>
      <c r="H51" s="68">
        <v>0</v>
      </c>
      <c r="I51" s="68">
        <v>1</v>
      </c>
      <c r="J51" s="68">
        <v>1</v>
      </c>
      <c r="K51" s="68">
        <v>2</v>
      </c>
    </row>
    <row r="52" spans="1:11" ht="28.8">
      <c r="A52" s="102" t="s">
        <v>1056</v>
      </c>
      <c r="B52" s="103">
        <v>0</v>
      </c>
      <c r="C52" s="103">
        <v>0</v>
      </c>
      <c r="D52" s="103">
        <v>1</v>
      </c>
      <c r="E52" s="103">
        <v>0</v>
      </c>
      <c r="F52" s="103">
        <v>0</v>
      </c>
      <c r="G52" s="103">
        <v>0</v>
      </c>
      <c r="H52" s="103">
        <v>0</v>
      </c>
      <c r="I52" s="103">
        <v>0</v>
      </c>
      <c r="J52" s="103">
        <v>1</v>
      </c>
      <c r="K52" s="103">
        <v>2</v>
      </c>
    </row>
  </sheetData>
  <pageMargins left="0.511811024" right="0.511811024" top="0.78740157499999996" bottom="0.78740157499999996" header="0.31496062000000002" footer="0.31496062000000002"/>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728C9-D2B2-40E1-8BCA-0CB503CD90BF}">
  <dimension ref="A1:K7"/>
  <sheetViews>
    <sheetView zoomScale="85" zoomScaleNormal="85" workbookViewId="0">
      <selection activeCell="K7" sqref="K7"/>
    </sheetView>
  </sheetViews>
  <sheetFormatPr defaultRowHeight="14.4"/>
  <cols>
    <col min="1" max="1" width="34.21875" bestFit="1" customWidth="1"/>
    <col min="2" max="2" width="19.109375" bestFit="1" customWidth="1"/>
    <col min="3" max="3" width="16.33203125" bestFit="1" customWidth="1"/>
    <col min="4" max="4" width="22.88671875" bestFit="1" customWidth="1"/>
    <col min="5" max="5" width="19.109375" bestFit="1" customWidth="1"/>
    <col min="6" max="6" width="19.21875" bestFit="1" customWidth="1"/>
    <col min="7" max="7" width="17.77734375" bestFit="1" customWidth="1"/>
    <col min="8" max="8" width="22" bestFit="1" customWidth="1"/>
    <col min="9" max="9" width="23.21875" bestFit="1" customWidth="1"/>
    <col min="10" max="10" width="21.77734375" bestFit="1" customWidth="1"/>
    <col min="11" max="11" width="10.44140625" bestFit="1" customWidth="1"/>
  </cols>
  <sheetData>
    <row r="1" spans="1:11" ht="43.2">
      <c r="A1" s="101" t="s">
        <v>1008</v>
      </c>
      <c r="B1" s="101" t="s">
        <v>978</v>
      </c>
      <c r="C1" s="101" t="s">
        <v>980</v>
      </c>
      <c r="D1" s="101" t="s">
        <v>982</v>
      </c>
      <c r="E1" s="101" t="s">
        <v>984</v>
      </c>
      <c r="F1" s="101" t="s">
        <v>986</v>
      </c>
      <c r="G1" s="101" t="s">
        <v>988</v>
      </c>
      <c r="H1" s="101" t="s">
        <v>990</v>
      </c>
      <c r="I1" s="101" t="s">
        <v>992</v>
      </c>
      <c r="J1" s="101" t="s">
        <v>994</v>
      </c>
      <c r="K1" s="101" t="s">
        <v>1156</v>
      </c>
    </row>
    <row r="2" spans="1:11" ht="28.8">
      <c r="A2" s="102" t="s">
        <v>890</v>
      </c>
      <c r="B2" s="103">
        <f>COUNTIFS('Analise Individual (2)'!H:H,tblDimImp[[#This Row],[dimensao]],'Analise Individual (2)'!I:I,tblDimImp[[#Headers],[Previsibilidade de Prazo e Entrega]])</f>
        <v>20</v>
      </c>
      <c r="C2" s="103">
        <f>COUNTIFS('Analise Individual (2)'!H:H,tblDimImp[[#This Row],[dimensao]],'Analise Individual (2)'!I:I,tblDimImp[[#Headers],[Eficiência e Controle de Capital]])</f>
        <v>3</v>
      </c>
      <c r="D2" s="103">
        <f>COUNTIFS('Analise Individual (2)'!H:H,tblDimImp[[#This Row],[dimensao]],'Analise Individual (2)'!I:I,tblDimImp[[#Headers],[Qualidade da Tomada de Decisão de Investimentos]])</f>
        <v>11</v>
      </c>
      <c r="E2" s="103">
        <f>COUNTIFS('Analise Individual (2)'!H:H,tblDimImp[[#This Row],[dimensao]],'Analise Individual (2)'!I:I,tblDimImp[[#Headers],[Efetividade da Governança de CAPEX]])</f>
        <v>66</v>
      </c>
      <c r="F2" s="103">
        <f>COUNTIFS('Analise Individual (2)'!H:H,tblDimImp[[#This Row],[dimensao]],'Analise Individual (2)'!I:I,tblDimImp[[#Headers],[Eficiência Operacional da Execução]])</f>
        <v>45</v>
      </c>
      <c r="G2" s="103">
        <f>COUNTIFS('Analise Individual (2)'!H:H,tblDimImp[[#This Row],[dimensao]],'Analise Individual (2)'!I:I,tblDimImp[[#Headers],[Exposição a Riscos de Investimento]])</f>
        <v>2</v>
      </c>
      <c r="H2" s="103">
        <f>COUNTIFS('Analise Individual (2)'!H:H,tblDimImp[[#This Row],[dimensao]],'Analise Individual (2)'!I:I,tblDimImp[[#Headers],[Qualidade Técnica e Maturidade de Engenharia]])</f>
        <v>4</v>
      </c>
      <c r="I2" s="103">
        <f>COUNTIFS('Analise Individual (2)'!H:H,tblDimImp[[#This Row],[dimensao]],'Analise Individual (2)'!I:I,tblDimImp[[#Headers],[Performance Contratual e Cadeia de Fornecimento]])</f>
        <v>10</v>
      </c>
      <c r="J2" s="103">
        <f>COUNTIFS('Analise Individual (2)'!H:H,tblDimImp[[#This Row],[dimensao]],'Analise Individual (2)'!I:I,tblDimImp[[#Headers],[Confiabilidade da Informação e Suporte à Decisão]])</f>
        <v>8</v>
      </c>
      <c r="K2" s="103">
        <f>SUM(tblDimImp[[#This Row],[Previsibilidade de Prazo e Entrega]:[Confiabilidade da Informação e Suporte à Decisão]])</f>
        <v>169</v>
      </c>
    </row>
    <row r="3" spans="1:11">
      <c r="A3" s="104" t="s">
        <v>850</v>
      </c>
      <c r="B3" s="103">
        <f>COUNTIFS('Analise Individual (2)'!H:H,tblDimImp[[#This Row],[dimensao]],'Analise Individual (2)'!I:I,tblDimImp[[#Headers],[Previsibilidade de Prazo e Entrega]])</f>
        <v>0</v>
      </c>
      <c r="C3" s="103">
        <f>COUNTIFS('Analise Individual (2)'!H:H,tblDimImp[[#This Row],[dimensao]],'Analise Individual (2)'!I:I,tblDimImp[[#Headers],[Eficiência e Controle de Capital]])</f>
        <v>5</v>
      </c>
      <c r="D3" s="103">
        <f>COUNTIFS('Analise Individual (2)'!H:H,tblDimImp[[#This Row],[dimensao]],'Analise Individual (2)'!I:I,tblDimImp[[#Headers],[Qualidade da Tomada de Decisão de Investimentos]])</f>
        <v>21</v>
      </c>
      <c r="E3" s="103">
        <f>COUNTIFS('Analise Individual (2)'!H:H,tblDimImp[[#This Row],[dimensao]],'Analise Individual (2)'!I:I,tblDimImp[[#Headers],[Efetividade da Governança de CAPEX]])</f>
        <v>17</v>
      </c>
      <c r="F3" s="103">
        <f>COUNTIFS('Analise Individual (2)'!H:H,tblDimImp[[#This Row],[dimensao]],'Analise Individual (2)'!I:I,tblDimImp[[#Headers],[Eficiência Operacional da Execução]])</f>
        <v>17</v>
      </c>
      <c r="G3" s="103">
        <f>COUNTIFS('Analise Individual (2)'!H:H,tblDimImp[[#This Row],[dimensao]],'Analise Individual (2)'!I:I,tblDimImp[[#Headers],[Exposição a Riscos de Investimento]])</f>
        <v>1</v>
      </c>
      <c r="H3" s="103">
        <f>COUNTIFS('Analise Individual (2)'!H:H,tblDimImp[[#This Row],[dimensao]],'Analise Individual (2)'!I:I,tblDimImp[[#Headers],[Qualidade Técnica e Maturidade de Engenharia]])</f>
        <v>4</v>
      </c>
      <c r="I3" s="103">
        <f>COUNTIFS('Analise Individual (2)'!H:H,tblDimImp[[#This Row],[dimensao]],'Analise Individual (2)'!I:I,tblDimImp[[#Headers],[Performance Contratual e Cadeia de Fornecimento]])</f>
        <v>2</v>
      </c>
      <c r="J3" s="103">
        <f>COUNTIFS('Analise Individual (2)'!H:H,tblDimImp[[#This Row],[dimensao]],'Analise Individual (2)'!I:I,tblDimImp[[#Headers],[Confiabilidade da Informação e Suporte à Decisão]])</f>
        <v>11</v>
      </c>
      <c r="K3" s="103">
        <f>SUM(tblDimImp[[#This Row],[Previsibilidade de Prazo e Entrega]:[Confiabilidade da Informação e Suporte à Decisão]])</f>
        <v>78</v>
      </c>
    </row>
    <row r="4" spans="1:11">
      <c r="A4" s="102" t="s">
        <v>853</v>
      </c>
      <c r="B4" s="103">
        <f>COUNTIFS('Analise Individual (2)'!H:H,tblDimImp[[#This Row],[dimensao]],'Analise Individual (2)'!I:I,tblDimImp[[#Headers],[Previsibilidade de Prazo e Entrega]])</f>
        <v>10</v>
      </c>
      <c r="C4" s="103">
        <f>COUNTIFS('Analise Individual (2)'!H:H,tblDimImp[[#This Row],[dimensao]],'Analise Individual (2)'!I:I,tblDimImp[[#Headers],[Eficiência e Controle de Capital]])</f>
        <v>7</v>
      </c>
      <c r="D4" s="103">
        <f>COUNTIFS('Analise Individual (2)'!H:H,tblDimImp[[#This Row],[dimensao]],'Analise Individual (2)'!I:I,tblDimImp[[#Headers],[Qualidade da Tomada de Decisão de Investimentos]])</f>
        <v>0</v>
      </c>
      <c r="E4" s="103">
        <f>COUNTIFS('Analise Individual (2)'!H:H,tblDimImp[[#This Row],[dimensao]],'Analise Individual (2)'!I:I,tblDimImp[[#Headers],[Efetividade da Governança de CAPEX]])</f>
        <v>1</v>
      </c>
      <c r="F4" s="103">
        <f>COUNTIFS('Analise Individual (2)'!H:H,tblDimImp[[#This Row],[dimensao]],'Analise Individual (2)'!I:I,tblDimImp[[#Headers],[Eficiência Operacional da Execução]])</f>
        <v>5</v>
      </c>
      <c r="G4" s="103">
        <f>COUNTIFS('Analise Individual (2)'!H:H,tblDimImp[[#This Row],[dimensao]],'Analise Individual (2)'!I:I,tblDimImp[[#Headers],[Exposição a Riscos de Investimento]])</f>
        <v>20</v>
      </c>
      <c r="H4" s="103">
        <f>COUNTIFS('Analise Individual (2)'!H:H,tblDimImp[[#This Row],[dimensao]],'Analise Individual (2)'!I:I,tblDimImp[[#Headers],[Qualidade Técnica e Maturidade de Engenharia]])</f>
        <v>0</v>
      </c>
      <c r="I4" s="103">
        <f>COUNTIFS('Analise Individual (2)'!H:H,tblDimImp[[#This Row],[dimensao]],'Analise Individual (2)'!I:I,tblDimImp[[#Headers],[Performance Contratual e Cadeia de Fornecimento]])</f>
        <v>26</v>
      </c>
      <c r="J4" s="103">
        <f>COUNTIFS('Analise Individual (2)'!H:H,tblDimImp[[#This Row],[dimensao]],'Analise Individual (2)'!I:I,tblDimImp[[#Headers],[Confiabilidade da Informação e Suporte à Decisão]])</f>
        <v>12</v>
      </c>
      <c r="K4" s="103">
        <f>SUM(tblDimImp[[#This Row],[Previsibilidade de Prazo e Entrega]:[Confiabilidade da Informação e Suporte à Decisão]])</f>
        <v>81</v>
      </c>
    </row>
    <row r="5" spans="1:11">
      <c r="A5" s="104" t="s">
        <v>854</v>
      </c>
      <c r="B5" s="103">
        <f>COUNTIFS('Analise Individual (2)'!H:H,tblDimImp[[#This Row],[dimensao]],'Analise Individual (2)'!I:I,tblDimImp[[#Headers],[Previsibilidade de Prazo e Entrega]])</f>
        <v>15</v>
      </c>
      <c r="C5" s="103">
        <f>COUNTIFS('Analise Individual (2)'!H:H,tblDimImp[[#This Row],[dimensao]],'Analise Individual (2)'!I:I,tblDimImp[[#Headers],[Eficiência e Controle de Capital]])</f>
        <v>15</v>
      </c>
      <c r="D5" s="103">
        <f>COUNTIFS('Analise Individual (2)'!H:H,tblDimImp[[#This Row],[dimensao]],'Analise Individual (2)'!I:I,tblDimImp[[#Headers],[Qualidade da Tomada de Decisão de Investimentos]])</f>
        <v>32</v>
      </c>
      <c r="E5" s="103">
        <f>COUNTIFS('Analise Individual (2)'!H:H,tblDimImp[[#This Row],[dimensao]],'Analise Individual (2)'!I:I,tblDimImp[[#Headers],[Efetividade da Governança de CAPEX]])</f>
        <v>15</v>
      </c>
      <c r="F5" s="103">
        <f>COUNTIFS('Analise Individual (2)'!H:H,tblDimImp[[#This Row],[dimensao]],'Analise Individual (2)'!I:I,tblDimImp[[#Headers],[Eficiência Operacional da Execução]])</f>
        <v>30</v>
      </c>
      <c r="G5" s="103">
        <f>COUNTIFS('Analise Individual (2)'!H:H,tblDimImp[[#This Row],[dimensao]],'Analise Individual (2)'!I:I,tblDimImp[[#Headers],[Exposição a Riscos de Investimento]])</f>
        <v>14</v>
      </c>
      <c r="H5" s="103">
        <f>COUNTIFS('Analise Individual (2)'!H:H,tblDimImp[[#This Row],[dimensao]],'Analise Individual (2)'!I:I,tblDimImp[[#Headers],[Qualidade Técnica e Maturidade de Engenharia]])</f>
        <v>0</v>
      </c>
      <c r="I5" s="103">
        <f>COUNTIFS('Analise Individual (2)'!H:H,tblDimImp[[#This Row],[dimensao]],'Analise Individual (2)'!I:I,tblDimImp[[#Headers],[Performance Contratual e Cadeia de Fornecimento]])</f>
        <v>0</v>
      </c>
      <c r="J5" s="103">
        <f>COUNTIFS('Analise Individual (2)'!H:H,tblDimImp[[#This Row],[dimensao]],'Analise Individual (2)'!I:I,tblDimImp[[#Headers],[Confiabilidade da Informação e Suporte à Decisão]])</f>
        <v>29</v>
      </c>
      <c r="K5" s="103">
        <f>SUM(tblDimImp[[#This Row],[Previsibilidade de Prazo e Entrega]:[Confiabilidade da Informação e Suporte à Decisão]])</f>
        <v>150</v>
      </c>
    </row>
    <row r="6" spans="1:11">
      <c r="A6" s="102" t="s">
        <v>28</v>
      </c>
      <c r="B6" s="103">
        <f>COUNTIFS('Analise Individual (2)'!H:H,tblDimImp[[#This Row],[dimensao]],'Analise Individual (2)'!I:I,tblDimImp[[#Headers],[Previsibilidade de Prazo e Entrega]])</f>
        <v>0</v>
      </c>
      <c r="C6" s="103">
        <f>COUNTIFS('Analise Individual (2)'!H:H,tblDimImp[[#This Row],[dimensao]],'Analise Individual (2)'!I:I,tblDimImp[[#Headers],[Eficiência e Controle de Capital]])</f>
        <v>2</v>
      </c>
      <c r="D6" s="103">
        <f>COUNTIFS('Analise Individual (2)'!H:H,tblDimImp[[#This Row],[dimensao]],'Analise Individual (2)'!I:I,tblDimImp[[#Headers],[Qualidade da Tomada de Decisão de Investimentos]])</f>
        <v>3</v>
      </c>
      <c r="E6" s="103">
        <f>COUNTIFS('Analise Individual (2)'!H:H,tblDimImp[[#This Row],[dimensao]],'Analise Individual (2)'!I:I,tblDimImp[[#Headers],[Efetividade da Governança de CAPEX]])</f>
        <v>0</v>
      </c>
      <c r="F6" s="103">
        <f>COUNTIFS('Analise Individual (2)'!H:H,tblDimImp[[#This Row],[dimensao]],'Analise Individual (2)'!I:I,tblDimImp[[#Headers],[Eficiência Operacional da Execução]])</f>
        <v>34</v>
      </c>
      <c r="G6" s="103">
        <f>COUNTIFS('Analise Individual (2)'!H:H,tblDimImp[[#This Row],[dimensao]],'Analise Individual (2)'!I:I,tblDimImp[[#Headers],[Exposição a Riscos de Investimento]])</f>
        <v>5</v>
      </c>
      <c r="H6" s="103">
        <f>COUNTIFS('Analise Individual (2)'!H:H,tblDimImp[[#This Row],[dimensao]],'Analise Individual (2)'!I:I,tblDimImp[[#Headers],[Qualidade Técnica e Maturidade de Engenharia]])</f>
        <v>0</v>
      </c>
      <c r="I6" s="103">
        <f>COUNTIFS('Analise Individual (2)'!H:H,tblDimImp[[#This Row],[dimensao]],'Analise Individual (2)'!I:I,tblDimImp[[#Headers],[Performance Contratual e Cadeia de Fornecimento]])</f>
        <v>1</v>
      </c>
      <c r="J6" s="103">
        <f>COUNTIFS('Analise Individual (2)'!H:H,tblDimImp[[#This Row],[dimensao]],'Analise Individual (2)'!I:I,tblDimImp[[#Headers],[Confiabilidade da Informação e Suporte à Decisão]])</f>
        <v>48</v>
      </c>
      <c r="K6" s="103">
        <f>SUM(tblDimImp[[#This Row],[Previsibilidade de Prazo e Entrega]:[Confiabilidade da Informação e Suporte à Decisão]])</f>
        <v>93</v>
      </c>
    </row>
    <row r="7" spans="1:11">
      <c r="K7">
        <f>SUM(tblDimImp[total])</f>
        <v>571</v>
      </c>
    </row>
  </sheetData>
  <pageMargins left="0.511811024" right="0.511811024" top="0.78740157499999996" bottom="0.78740157499999996" header="0.31496062000000002" footer="0.31496062000000002"/>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CE5A0-EFE1-46C7-AFEF-C79341EA2B9E}">
  <dimension ref="A1:F17"/>
  <sheetViews>
    <sheetView zoomScale="70" zoomScaleNormal="70" workbookViewId="0">
      <selection activeCell="B13" sqref="B13"/>
    </sheetView>
  </sheetViews>
  <sheetFormatPr defaultRowHeight="14.4"/>
  <cols>
    <col min="1" max="1" width="42" customWidth="1"/>
    <col min="2" max="2" width="48" customWidth="1"/>
    <col min="3" max="3" width="46" customWidth="1"/>
    <col min="4" max="4" width="16" customWidth="1"/>
    <col min="5" max="5" width="10.77734375" bestFit="1" customWidth="1"/>
    <col min="6" max="6" width="15.21875" bestFit="1" customWidth="1"/>
  </cols>
  <sheetData>
    <row r="1" spans="1:6">
      <c r="A1" s="129" t="s">
        <v>1157</v>
      </c>
      <c r="B1" s="129" t="s">
        <v>1158</v>
      </c>
      <c r="C1" s="129" t="s">
        <v>1159</v>
      </c>
      <c r="D1" s="129" t="s">
        <v>1160</v>
      </c>
    </row>
    <row r="2" spans="1:6" ht="43.2">
      <c r="A2" s="130" t="s">
        <v>1161</v>
      </c>
      <c r="B2" s="130" t="s">
        <v>1162</v>
      </c>
      <c r="C2" s="130" t="s">
        <v>1163</v>
      </c>
      <c r="D2" s="130" t="s">
        <v>1164</v>
      </c>
    </row>
    <row r="3" spans="1:6" ht="43.2">
      <c r="A3" s="130" t="s">
        <v>1165</v>
      </c>
      <c r="B3" s="130" t="s">
        <v>1166</v>
      </c>
      <c r="C3" s="130" t="s">
        <v>1167</v>
      </c>
      <c r="D3" s="130" t="s">
        <v>1164</v>
      </c>
    </row>
    <row r="4" spans="1:6" ht="43.2">
      <c r="A4" s="130" t="s">
        <v>1168</v>
      </c>
      <c r="B4" s="130" t="s">
        <v>1169</v>
      </c>
      <c r="C4" s="130" t="s">
        <v>1170</v>
      </c>
      <c r="D4" s="130" t="s">
        <v>1164</v>
      </c>
    </row>
    <row r="5" spans="1:6" ht="43.2">
      <c r="A5" s="130" t="s">
        <v>1171</v>
      </c>
      <c r="B5" s="130" t="s">
        <v>1172</v>
      </c>
      <c r="C5" s="130" t="s">
        <v>1173</v>
      </c>
      <c r="D5" s="130" t="s">
        <v>1164</v>
      </c>
    </row>
    <row r="6" spans="1:6" ht="43.2">
      <c r="A6" s="130" t="s">
        <v>1174</v>
      </c>
      <c r="B6" s="130" t="s">
        <v>1175</v>
      </c>
      <c r="C6" s="130" t="s">
        <v>1176</v>
      </c>
      <c r="D6" s="130" t="s">
        <v>1164</v>
      </c>
    </row>
    <row r="7" spans="1:6" ht="43.2">
      <c r="A7" s="130" t="s">
        <v>1177</v>
      </c>
      <c r="B7" s="130" t="s">
        <v>1178</v>
      </c>
      <c r="C7" s="130" t="s">
        <v>1179</v>
      </c>
      <c r="D7" s="130" t="s">
        <v>1164</v>
      </c>
    </row>
    <row r="10" spans="1:6">
      <c r="A10" s="105" t="s">
        <v>1180</v>
      </c>
      <c r="B10" s="124" t="s">
        <v>1360</v>
      </c>
      <c r="C10" s="124" t="s">
        <v>121</v>
      </c>
      <c r="D10" s="124" t="s">
        <v>199</v>
      </c>
      <c r="E10" s="124" t="s">
        <v>145</v>
      </c>
      <c r="F10" s="124" t="s">
        <v>1454</v>
      </c>
    </row>
    <row r="11" spans="1:6">
      <c r="A11" s="106" t="s">
        <v>1181</v>
      </c>
      <c r="B11" s="126">
        <f>COUNTA(' Lista de Entrevistas'!A2:A85)</f>
        <v>69</v>
      </c>
      <c r="C11" s="124">
        <f>COUNTIFS(' Lista de Entrevistas'!$E:$E,Hipoteses!C$10,' Lista de Entrevistas'!$I:$I,"Coleta de Dados")</f>
        <v>21</v>
      </c>
      <c r="D11" s="124">
        <f>COUNTIFS(' Lista de Entrevistas'!$E:$E,Hipoteses!D$10,' Lista de Entrevistas'!$I:$I,"Coleta de Dados")</f>
        <v>18</v>
      </c>
      <c r="E11" s="124">
        <f>COUNTIFS(' Lista de Entrevistas'!$E:$E,Hipoteses!E$10,' Lista de Entrevistas'!$I:$I,"Coleta de Dados")</f>
        <v>25</v>
      </c>
      <c r="F11" s="124">
        <f>B11-C11-D11-E11</f>
        <v>5</v>
      </c>
    </row>
    <row r="12" spans="1:6">
      <c r="A12" s="106" t="s">
        <v>1182</v>
      </c>
      <c r="B12" s="126" cm="1">
        <f t="array" ref="B12">COUNTA(_xlfn.UNIQUE(_xlfn._xlws.FILTER('Analise Individual (2)'!$E$2:$E$976,'Analise Individual (2)'!$E$2:$E$976&lt;&gt;"")))</f>
        <v>406</v>
      </c>
      <c r="C12" s="124" cm="1">
        <f t="array" ref="C12">COUNTA(_xlfn.UNIQUE(_xlfn._xlws.FILTER('Analise Individual (2)'!$E$2:$E$976,'Analise Individual (2)'!$D$2:$D$976=Hipoteses!C$10)))</f>
        <v>171</v>
      </c>
      <c r="D12" s="124" cm="1">
        <f t="array" ref="D12">COUNTA(_xlfn.UNIQUE(_xlfn._xlws.FILTER('Analise Individual (2)'!$E$2:$E$976,'Analise Individual (2)'!$D$2:$D$976=Hipoteses!D$10)))</f>
        <v>84</v>
      </c>
      <c r="E12" s="124" cm="1">
        <f t="array" ref="E12">COUNTA(_xlfn.UNIQUE(_xlfn._xlws.FILTER('Analise Individual (2)'!$E$2:$E$976,'Analise Individual (2)'!$D$2:$D$976=Hipoteses!E$10)))</f>
        <v>151</v>
      </c>
    </row>
    <row r="13" spans="1:6">
      <c r="A13" s="106" t="s">
        <v>1358</v>
      </c>
      <c r="B13" s="126">
        <f>COUNTA('Analise Individual (2)'!$E$2:$E$976)</f>
        <v>579</v>
      </c>
      <c r="C13" s="124">
        <f>COUNTIF('Analise Individual (2)'!$D:$D,Hipoteses!C$10)</f>
        <v>252</v>
      </c>
      <c r="D13" s="124">
        <f>COUNTIF('Analise Individual (2)'!$D:$D,Hipoteses!D$10)</f>
        <v>129</v>
      </c>
      <c r="E13" s="124">
        <f>COUNTIF('Analise Individual (2)'!$D:$D,Hipoteses!E$10)</f>
        <v>198</v>
      </c>
    </row>
    <row r="14" spans="1:6">
      <c r="A14" s="106" t="s">
        <v>1359</v>
      </c>
      <c r="B14" s="126">
        <f>COUNTIF('Analise Individual (2)'!K:K,"Sim")</f>
        <v>477</v>
      </c>
      <c r="C14" s="125">
        <f>COUNTIFS('Analise Individual (2)'!$K:$K,"Sim",'Analise Individual (2)'!$D:$D,Hipoteses!C$10)</f>
        <v>178</v>
      </c>
      <c r="D14" s="125">
        <f>COUNTIFS('Analise Individual (2)'!$K:$K,"Sim",'Analise Individual (2)'!$D:$D,Hipoteses!D$10)</f>
        <v>110</v>
      </c>
      <c r="E14" s="125">
        <f>COUNTIFS('Analise Individual (2)'!$K:$K,"Sim",'Analise Individual (2)'!$D:$D,Hipoteses!E$10)</f>
        <v>189</v>
      </c>
    </row>
    <row r="15" spans="1:6">
      <c r="A15" s="106" t="s">
        <v>1183</v>
      </c>
      <c r="B15" s="126" cm="1">
        <f t="array" ref="B15">COUNTA(_xlfn.UNIQUE(_xlfn._xlws.FILTER('Analise Individual (2)'!$F$2:$F$976,'Analise Individual (2)'!$F$2:$F$976&lt;&gt;"")))</f>
        <v>322</v>
      </c>
      <c r="C15" s="126" cm="1">
        <f t="array" ref="C15">COUNTA(_xlfn.UNIQUE(_xlfn._xlws.FILTER('Analise Individual (2)'!$F$2:$F$976,('Analise Individual (2)'!$F$2:$F$976&lt;&gt;"")*('Analise Individual (2)'!$D$2:$D$976=C10))))</f>
        <v>144</v>
      </c>
      <c r="D15" s="126" cm="1">
        <f t="array" ref="D15">COUNTA(_xlfn.UNIQUE(_xlfn._xlws.FILTER('Analise Individual (2)'!$F$2:$F$976,('Analise Individual (2)'!$F$2:$F$976&lt;&gt;"")*('Analise Individual (2)'!$D$2:$D$976=D10))))</f>
        <v>65</v>
      </c>
      <c r="E15" s="126" cm="1">
        <f t="array" ref="E15">COUNTA(_xlfn.UNIQUE(_xlfn._xlws.FILTER('Analise Individual (2)'!$F$2:$F$976,('Analise Individual (2)'!$F$2:$F$976&lt;&gt;"")*('Analise Individual (2)'!$D$2:$D$976=E10))))</f>
        <v>137</v>
      </c>
    </row>
    <row r="16" spans="1:6">
      <c r="A16" s="106"/>
      <c r="B16" s="104"/>
    </row>
    <row r="17" spans="1:2">
      <c r="A17" s="106" t="s">
        <v>1184</v>
      </c>
      <c r="B17" s="104" t="s">
        <v>1357</v>
      </c>
    </row>
  </sheetData>
  <pageMargins left="0.511811024" right="0.511811024" top="0.78740157499999996" bottom="0.78740157499999996" header="0.31496062000000002" footer="0.31496062000000002"/>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A72AB-36CA-4411-963F-79A8DD53F22A}">
  <sheetPr>
    <tabColor theme="9"/>
  </sheetPr>
  <dimension ref="A1:L31"/>
  <sheetViews>
    <sheetView workbookViewId="0">
      <selection activeCell="B1" sqref="B1"/>
    </sheetView>
  </sheetViews>
  <sheetFormatPr defaultRowHeight="14.4"/>
  <cols>
    <col min="1" max="1" width="47.5546875" bestFit="1" customWidth="1"/>
    <col min="2" max="2" width="38.33203125" bestFit="1" customWidth="1"/>
    <col min="3" max="3" width="36.5546875" bestFit="1" customWidth="1"/>
    <col min="4" max="4" width="13.44140625" bestFit="1" customWidth="1"/>
    <col min="5" max="5" width="13" bestFit="1" customWidth="1"/>
    <col min="6" max="6" width="10.33203125" bestFit="1" customWidth="1"/>
  </cols>
  <sheetData>
    <row r="1" spans="1:12">
      <c r="A1" s="1" t="s">
        <v>119</v>
      </c>
      <c r="B1" s="1" t="s">
        <v>58</v>
      </c>
      <c r="C1" s="1" t="s">
        <v>120</v>
      </c>
      <c r="D1" s="1" t="s">
        <v>2</v>
      </c>
      <c r="E1" s="1" t="s">
        <v>394</v>
      </c>
      <c r="F1" s="1" t="s">
        <v>3</v>
      </c>
      <c r="G1" s="1"/>
      <c r="H1" s="62"/>
      <c r="I1" s="1"/>
      <c r="J1" s="1"/>
      <c r="K1" s="1"/>
      <c r="L1" s="1"/>
    </row>
    <row r="2" spans="1:12">
      <c r="A2" t="s">
        <v>55</v>
      </c>
      <c r="B2" t="s">
        <v>30</v>
      </c>
      <c r="C2" t="s">
        <v>63</v>
      </c>
      <c r="D2" t="s">
        <v>17</v>
      </c>
      <c r="E2">
        <v>18</v>
      </c>
      <c r="F2" t="s">
        <v>8</v>
      </c>
    </row>
    <row r="3" spans="1:12">
      <c r="A3" t="s">
        <v>55</v>
      </c>
      <c r="B3" t="s">
        <v>30</v>
      </c>
      <c r="C3" t="s">
        <v>64</v>
      </c>
      <c r="D3" t="s">
        <v>17</v>
      </c>
      <c r="E3">
        <v>18</v>
      </c>
      <c r="F3" t="s">
        <v>8</v>
      </c>
    </row>
    <row r="4" spans="1:12">
      <c r="A4" t="s">
        <v>55</v>
      </c>
      <c r="B4" t="s">
        <v>30</v>
      </c>
      <c r="C4" t="s">
        <v>56</v>
      </c>
      <c r="D4" t="s">
        <v>17</v>
      </c>
      <c r="E4">
        <v>18</v>
      </c>
      <c r="F4" t="s">
        <v>8</v>
      </c>
    </row>
    <row r="5" spans="1:12">
      <c r="A5" t="s">
        <v>150</v>
      </c>
      <c r="B5" t="s">
        <v>28</v>
      </c>
      <c r="C5" t="s">
        <v>64</v>
      </c>
      <c r="D5" t="s">
        <v>17</v>
      </c>
      <c r="E5">
        <v>9</v>
      </c>
      <c r="F5" t="s">
        <v>8</v>
      </c>
    </row>
    <row r="6" spans="1:12">
      <c r="A6" t="s">
        <v>150</v>
      </c>
      <c r="B6" t="s">
        <v>28</v>
      </c>
      <c r="C6" t="s">
        <v>56</v>
      </c>
      <c r="D6" t="s">
        <v>17</v>
      </c>
      <c r="E6">
        <v>9</v>
      </c>
      <c r="F6" t="s">
        <v>8</v>
      </c>
    </row>
    <row r="7" spans="1:12">
      <c r="A7" t="s">
        <v>150</v>
      </c>
      <c r="B7" t="s">
        <v>28</v>
      </c>
      <c r="C7" t="s">
        <v>133</v>
      </c>
      <c r="D7" t="s">
        <v>17</v>
      </c>
      <c r="E7">
        <v>9</v>
      </c>
      <c r="F7" t="s">
        <v>8</v>
      </c>
    </row>
    <row r="8" spans="1:12">
      <c r="A8" t="s">
        <v>129</v>
      </c>
      <c r="B8" t="s">
        <v>19</v>
      </c>
      <c r="C8" t="s">
        <v>61</v>
      </c>
      <c r="D8" t="s">
        <v>12</v>
      </c>
      <c r="E8">
        <v>7</v>
      </c>
      <c r="F8" t="s">
        <v>8</v>
      </c>
    </row>
    <row r="9" spans="1:12">
      <c r="A9" t="s">
        <v>129</v>
      </c>
      <c r="B9" t="s">
        <v>19</v>
      </c>
      <c r="C9" t="s">
        <v>62</v>
      </c>
      <c r="D9" t="s">
        <v>12</v>
      </c>
      <c r="E9">
        <v>7</v>
      </c>
      <c r="F9" t="s">
        <v>8</v>
      </c>
    </row>
    <row r="10" spans="1:12">
      <c r="A10" t="s">
        <v>129</v>
      </c>
      <c r="B10" t="s">
        <v>19</v>
      </c>
      <c r="C10" t="s">
        <v>67</v>
      </c>
      <c r="D10" t="s">
        <v>12</v>
      </c>
      <c r="E10">
        <v>7</v>
      </c>
      <c r="F10" t="s">
        <v>8</v>
      </c>
    </row>
    <row r="11" spans="1:12">
      <c r="A11" t="s">
        <v>125</v>
      </c>
      <c r="B11" t="s">
        <v>15</v>
      </c>
      <c r="C11" t="s">
        <v>62</v>
      </c>
      <c r="D11" t="s">
        <v>17</v>
      </c>
      <c r="E11">
        <v>7</v>
      </c>
      <c r="F11" t="s">
        <v>8</v>
      </c>
    </row>
    <row r="12" spans="1:12">
      <c r="A12" t="s">
        <v>125</v>
      </c>
      <c r="B12" t="s">
        <v>15</v>
      </c>
      <c r="C12" t="s">
        <v>63</v>
      </c>
      <c r="D12" t="s">
        <v>17</v>
      </c>
      <c r="E12">
        <v>7</v>
      </c>
      <c r="F12" t="s">
        <v>8</v>
      </c>
    </row>
    <row r="13" spans="1:12">
      <c r="A13" t="s">
        <v>125</v>
      </c>
      <c r="B13" t="s">
        <v>15</v>
      </c>
      <c r="C13" t="s">
        <v>65</v>
      </c>
      <c r="D13" t="s">
        <v>17</v>
      </c>
      <c r="E13">
        <v>7</v>
      </c>
      <c r="F13" t="s">
        <v>8</v>
      </c>
    </row>
    <row r="14" spans="1:12">
      <c r="A14" t="s">
        <v>138</v>
      </c>
      <c r="B14" t="s">
        <v>10</v>
      </c>
      <c r="C14" t="s">
        <v>61</v>
      </c>
      <c r="D14" t="s">
        <v>12</v>
      </c>
      <c r="E14">
        <v>6</v>
      </c>
      <c r="F14" t="s">
        <v>8</v>
      </c>
    </row>
    <row r="15" spans="1:12">
      <c r="A15" t="s">
        <v>138</v>
      </c>
      <c r="B15" t="s">
        <v>10</v>
      </c>
      <c r="C15" t="s">
        <v>63</v>
      </c>
      <c r="D15" t="s">
        <v>12</v>
      </c>
      <c r="E15">
        <v>6</v>
      </c>
      <c r="F15" t="s">
        <v>8</v>
      </c>
    </row>
    <row r="16" spans="1:12">
      <c r="A16" t="s">
        <v>138</v>
      </c>
      <c r="B16" t="s">
        <v>10</v>
      </c>
      <c r="C16" t="s">
        <v>64</v>
      </c>
      <c r="D16" t="s">
        <v>12</v>
      </c>
      <c r="E16">
        <v>6</v>
      </c>
      <c r="F16" t="s">
        <v>8</v>
      </c>
    </row>
    <row r="17" spans="1:6">
      <c r="A17" t="s">
        <v>140</v>
      </c>
      <c r="B17" t="s">
        <v>5</v>
      </c>
      <c r="C17" t="s">
        <v>63</v>
      </c>
      <c r="D17" t="s">
        <v>17</v>
      </c>
      <c r="E17">
        <v>6</v>
      </c>
      <c r="F17" t="s">
        <v>8</v>
      </c>
    </row>
    <row r="18" spans="1:6">
      <c r="A18" t="s">
        <v>140</v>
      </c>
      <c r="B18" t="s">
        <v>5</v>
      </c>
      <c r="C18" t="s">
        <v>64</v>
      </c>
      <c r="D18" t="s">
        <v>17</v>
      </c>
      <c r="E18">
        <v>6</v>
      </c>
      <c r="F18" t="s">
        <v>8</v>
      </c>
    </row>
    <row r="19" spans="1:6">
      <c r="A19" t="s">
        <v>140</v>
      </c>
      <c r="B19" t="s">
        <v>5</v>
      </c>
      <c r="C19" t="s">
        <v>56</v>
      </c>
      <c r="D19" t="s">
        <v>17</v>
      </c>
      <c r="E19">
        <v>6</v>
      </c>
      <c r="F19" t="s">
        <v>8</v>
      </c>
    </row>
    <row r="20" spans="1:6">
      <c r="A20" t="s">
        <v>169</v>
      </c>
      <c r="B20" t="s">
        <v>23</v>
      </c>
      <c r="C20" t="s">
        <v>61</v>
      </c>
      <c r="D20" t="s">
        <v>17</v>
      </c>
      <c r="E20">
        <v>4</v>
      </c>
      <c r="F20" t="s">
        <v>8</v>
      </c>
    </row>
    <row r="21" spans="1:6">
      <c r="A21" t="s">
        <v>169</v>
      </c>
      <c r="B21" t="s">
        <v>23</v>
      </c>
      <c r="C21" t="s">
        <v>62</v>
      </c>
      <c r="D21" t="s">
        <v>17</v>
      </c>
      <c r="E21">
        <v>4</v>
      </c>
      <c r="F21" t="s">
        <v>8</v>
      </c>
    </row>
    <row r="22" spans="1:6">
      <c r="A22" t="s">
        <v>169</v>
      </c>
      <c r="B22" t="s">
        <v>23</v>
      </c>
      <c r="C22" t="s">
        <v>66</v>
      </c>
      <c r="D22" t="s">
        <v>17</v>
      </c>
      <c r="E22">
        <v>4</v>
      </c>
      <c r="F22" t="s">
        <v>8</v>
      </c>
    </row>
    <row r="23" spans="1:6">
      <c r="A23" t="s">
        <v>132</v>
      </c>
      <c r="B23" t="s">
        <v>30</v>
      </c>
      <c r="C23" t="s">
        <v>64</v>
      </c>
      <c r="D23" t="s">
        <v>17</v>
      </c>
      <c r="E23">
        <v>4</v>
      </c>
      <c r="F23" t="s">
        <v>8</v>
      </c>
    </row>
    <row r="24" spans="1:6">
      <c r="A24" t="s">
        <v>132</v>
      </c>
      <c r="B24" t="s">
        <v>30</v>
      </c>
      <c r="C24" t="s">
        <v>56</v>
      </c>
      <c r="D24" t="s">
        <v>17</v>
      </c>
      <c r="E24">
        <v>4</v>
      </c>
      <c r="F24" t="s">
        <v>8</v>
      </c>
    </row>
    <row r="25" spans="1:6">
      <c r="A25" t="s">
        <v>132</v>
      </c>
      <c r="B25" t="s">
        <v>30</v>
      </c>
      <c r="C25" t="s">
        <v>133</v>
      </c>
      <c r="D25" t="s">
        <v>17</v>
      </c>
      <c r="E25">
        <v>4</v>
      </c>
      <c r="F25" t="s">
        <v>8</v>
      </c>
    </row>
    <row r="26" spans="1:6">
      <c r="A26" t="s">
        <v>123</v>
      </c>
      <c r="B26" t="s">
        <v>26</v>
      </c>
      <c r="C26" t="s">
        <v>61</v>
      </c>
      <c r="D26" t="s">
        <v>12</v>
      </c>
      <c r="E26">
        <v>3</v>
      </c>
      <c r="F26" t="s">
        <v>8</v>
      </c>
    </row>
    <row r="27" spans="1:6">
      <c r="A27" t="s">
        <v>123</v>
      </c>
      <c r="B27" t="s">
        <v>26</v>
      </c>
      <c r="C27" t="s">
        <v>62</v>
      </c>
      <c r="D27" t="s">
        <v>12</v>
      </c>
      <c r="E27">
        <v>3</v>
      </c>
      <c r="F27" t="s">
        <v>8</v>
      </c>
    </row>
    <row r="28" spans="1:6">
      <c r="A28" t="s">
        <v>123</v>
      </c>
      <c r="B28" t="s">
        <v>26</v>
      </c>
      <c r="C28" t="s">
        <v>67</v>
      </c>
      <c r="D28" t="s">
        <v>12</v>
      </c>
      <c r="E28">
        <v>3</v>
      </c>
      <c r="F28" t="s">
        <v>8</v>
      </c>
    </row>
    <row r="29" spans="1:6">
      <c r="A29" t="s">
        <v>135</v>
      </c>
      <c r="B29" t="s">
        <v>28</v>
      </c>
      <c r="C29" t="s">
        <v>63</v>
      </c>
      <c r="D29" t="s">
        <v>17</v>
      </c>
      <c r="E29">
        <v>1</v>
      </c>
      <c r="F29" t="s">
        <v>13</v>
      </c>
    </row>
    <row r="30" spans="1:6">
      <c r="A30" t="s">
        <v>135</v>
      </c>
      <c r="B30" t="s">
        <v>28</v>
      </c>
      <c r="C30" t="s">
        <v>64</v>
      </c>
      <c r="D30" t="s">
        <v>17</v>
      </c>
      <c r="E30">
        <v>1</v>
      </c>
      <c r="F30" t="s">
        <v>13</v>
      </c>
    </row>
    <row r="31" spans="1:6">
      <c r="A31" t="s">
        <v>135</v>
      </c>
      <c r="B31" t="s">
        <v>28</v>
      </c>
      <c r="C31" t="s">
        <v>133</v>
      </c>
      <c r="D31" t="s">
        <v>17</v>
      </c>
      <c r="E31">
        <v>1</v>
      </c>
      <c r="F31" t="s">
        <v>13</v>
      </c>
    </row>
  </sheetData>
  <autoFilter ref="A1:F31" xr:uid="{3C1A72AB-36CA-4411-963F-79A8DD53F22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0366A-88A6-4AF3-A766-D689A16B06F2}">
  <sheetPr>
    <tabColor theme="9"/>
  </sheetPr>
  <dimension ref="A1:J44"/>
  <sheetViews>
    <sheetView topLeftCell="A11" workbookViewId="0">
      <selection activeCell="B15" sqref="B15:J15"/>
    </sheetView>
  </sheetViews>
  <sheetFormatPr defaultRowHeight="14.4"/>
  <cols>
    <col min="1" max="1" width="47.5546875" bestFit="1" customWidth="1"/>
    <col min="2" max="10" width="15.6640625" style="68" customWidth="1"/>
  </cols>
  <sheetData>
    <row r="1" spans="1:10">
      <c r="A1" s="3" t="s">
        <v>395</v>
      </c>
    </row>
    <row r="2" spans="1:10" ht="43.2">
      <c r="A2" s="82" t="s">
        <v>119</v>
      </c>
      <c r="B2" s="75" t="s">
        <v>61</v>
      </c>
      <c r="C2" s="75" t="s">
        <v>62</v>
      </c>
      <c r="D2" s="75" t="s">
        <v>63</v>
      </c>
      <c r="E2" s="75" t="s">
        <v>64</v>
      </c>
      <c r="F2" s="75" t="s">
        <v>65</v>
      </c>
      <c r="G2" s="75" t="s">
        <v>56</v>
      </c>
      <c r="H2" s="75" t="s">
        <v>66</v>
      </c>
      <c r="I2" s="75" t="s">
        <v>67</v>
      </c>
      <c r="J2" s="75" t="s">
        <v>133</v>
      </c>
    </row>
    <row r="3" spans="1:10">
      <c r="A3" s="77" t="s">
        <v>138</v>
      </c>
      <c r="B3" s="68">
        <v>7</v>
      </c>
      <c r="C3" s="68">
        <v>7</v>
      </c>
      <c r="D3" s="68">
        <v>7</v>
      </c>
      <c r="E3" s="68">
        <v>0</v>
      </c>
      <c r="F3" s="68">
        <v>0</v>
      </c>
      <c r="G3" s="68">
        <v>0</v>
      </c>
      <c r="H3" s="68">
        <v>0</v>
      </c>
      <c r="I3" s="68">
        <v>0</v>
      </c>
      <c r="J3" s="68">
        <v>0</v>
      </c>
    </row>
    <row r="4" spans="1:10">
      <c r="A4" s="77" t="s">
        <v>123</v>
      </c>
      <c r="B4" s="68">
        <v>3</v>
      </c>
      <c r="C4" s="68">
        <v>3</v>
      </c>
      <c r="D4" s="68">
        <v>0</v>
      </c>
      <c r="E4" s="68">
        <v>0</v>
      </c>
      <c r="F4" s="68">
        <v>0</v>
      </c>
      <c r="G4" s="68">
        <v>0</v>
      </c>
      <c r="H4" s="68">
        <v>0</v>
      </c>
      <c r="I4" s="68">
        <v>3</v>
      </c>
      <c r="J4" s="68">
        <v>0</v>
      </c>
    </row>
    <row r="5" spans="1:10">
      <c r="A5" s="77" t="s">
        <v>55</v>
      </c>
      <c r="B5" s="68">
        <v>0</v>
      </c>
      <c r="C5" s="68">
        <v>0</v>
      </c>
      <c r="D5" s="68">
        <v>83</v>
      </c>
      <c r="E5" s="68">
        <v>83</v>
      </c>
      <c r="F5" s="68">
        <v>0</v>
      </c>
      <c r="G5" s="68">
        <v>83</v>
      </c>
      <c r="H5" s="68">
        <v>0</v>
      </c>
      <c r="I5" s="68">
        <v>0</v>
      </c>
      <c r="J5" s="68">
        <v>0</v>
      </c>
    </row>
    <row r="6" spans="1:10">
      <c r="A6" s="77" t="s">
        <v>135</v>
      </c>
      <c r="B6" s="68">
        <v>0</v>
      </c>
      <c r="C6" s="68">
        <v>0</v>
      </c>
      <c r="D6" s="68">
        <v>2</v>
      </c>
      <c r="E6" s="68">
        <v>2</v>
      </c>
      <c r="F6" s="68">
        <v>0</v>
      </c>
      <c r="G6" s="68">
        <v>0</v>
      </c>
      <c r="H6" s="68">
        <v>0</v>
      </c>
      <c r="I6" s="68">
        <v>0</v>
      </c>
      <c r="J6" s="68">
        <v>2</v>
      </c>
    </row>
    <row r="7" spans="1:10">
      <c r="A7" s="77" t="s">
        <v>169</v>
      </c>
      <c r="B7" s="68">
        <v>4</v>
      </c>
      <c r="C7" s="68">
        <v>4</v>
      </c>
      <c r="D7" s="68">
        <v>4</v>
      </c>
      <c r="E7" s="68">
        <v>0</v>
      </c>
      <c r="F7" s="68">
        <v>0</v>
      </c>
      <c r="G7" s="68">
        <v>0</v>
      </c>
      <c r="H7" s="68">
        <v>0</v>
      </c>
      <c r="I7" s="68">
        <v>0</v>
      </c>
      <c r="J7" s="68">
        <v>0</v>
      </c>
    </row>
    <row r="8" spans="1:10">
      <c r="A8" s="77" t="s">
        <v>150</v>
      </c>
      <c r="B8" s="68">
        <v>0</v>
      </c>
      <c r="C8" s="68">
        <v>0</v>
      </c>
      <c r="D8" s="68">
        <v>0</v>
      </c>
      <c r="E8" s="68">
        <v>12</v>
      </c>
      <c r="F8" s="68">
        <v>0</v>
      </c>
      <c r="G8" s="68">
        <v>12</v>
      </c>
      <c r="H8" s="68">
        <v>0</v>
      </c>
      <c r="I8" s="68">
        <v>0</v>
      </c>
      <c r="J8" s="68">
        <v>12</v>
      </c>
    </row>
    <row r="9" spans="1:10">
      <c r="A9" s="77" t="s">
        <v>129</v>
      </c>
      <c r="B9" s="68">
        <v>12</v>
      </c>
      <c r="C9" s="68">
        <v>12</v>
      </c>
      <c r="D9" s="68">
        <v>0</v>
      </c>
      <c r="E9" s="68">
        <v>0</v>
      </c>
      <c r="F9" s="68">
        <v>0</v>
      </c>
      <c r="G9" s="68">
        <v>0</v>
      </c>
      <c r="H9" s="68">
        <v>0</v>
      </c>
      <c r="I9" s="68">
        <v>12</v>
      </c>
      <c r="J9" s="68">
        <v>0</v>
      </c>
    </row>
    <row r="10" spans="1:10">
      <c r="A10" s="77" t="s">
        <v>125</v>
      </c>
      <c r="B10" s="68">
        <v>0</v>
      </c>
      <c r="C10" s="68">
        <v>11</v>
      </c>
      <c r="D10" s="68">
        <v>11</v>
      </c>
      <c r="E10" s="68">
        <v>0</v>
      </c>
      <c r="F10" s="68">
        <v>11</v>
      </c>
      <c r="G10" s="68">
        <v>0</v>
      </c>
      <c r="H10" s="68">
        <v>0</v>
      </c>
      <c r="I10" s="68">
        <v>0</v>
      </c>
      <c r="J10" s="68">
        <v>0</v>
      </c>
    </row>
    <row r="11" spans="1:10">
      <c r="A11" s="77" t="s">
        <v>140</v>
      </c>
      <c r="B11" s="68">
        <v>0</v>
      </c>
      <c r="C11" s="68">
        <v>0</v>
      </c>
      <c r="D11" s="68">
        <v>7</v>
      </c>
      <c r="E11" s="68">
        <v>7</v>
      </c>
      <c r="F11" s="68">
        <v>0</v>
      </c>
      <c r="G11" s="68">
        <v>7</v>
      </c>
      <c r="H11" s="68">
        <v>0</v>
      </c>
      <c r="I11" s="68">
        <v>0</v>
      </c>
      <c r="J11" s="68">
        <v>0</v>
      </c>
    </row>
    <row r="12" spans="1:10">
      <c r="A12" s="77" t="s">
        <v>132</v>
      </c>
      <c r="B12" s="68">
        <v>0</v>
      </c>
      <c r="C12" s="68">
        <v>0</v>
      </c>
      <c r="D12" s="68">
        <v>0</v>
      </c>
      <c r="E12" s="68">
        <v>4</v>
      </c>
      <c r="F12" s="68">
        <v>0</v>
      </c>
      <c r="G12" s="68">
        <v>4</v>
      </c>
      <c r="H12" s="68">
        <v>0</v>
      </c>
      <c r="I12" s="68">
        <v>0</v>
      </c>
      <c r="J12" s="68">
        <v>4</v>
      </c>
    </row>
    <row r="14" spans="1:10">
      <c r="A14" s="3" t="s">
        <v>396</v>
      </c>
    </row>
    <row r="15" spans="1:10" ht="43.2">
      <c r="A15" s="75" t="s">
        <v>397</v>
      </c>
      <c r="B15" s="75" t="s">
        <v>61</v>
      </c>
      <c r="C15" s="75" t="s">
        <v>62</v>
      </c>
      <c r="D15" s="75" t="s">
        <v>63</v>
      </c>
      <c r="E15" s="75" t="s">
        <v>64</v>
      </c>
      <c r="F15" s="75" t="s">
        <v>65</v>
      </c>
      <c r="G15" s="75" t="s">
        <v>56</v>
      </c>
      <c r="H15" s="75" t="s">
        <v>66</v>
      </c>
      <c r="I15" s="75" t="s">
        <v>67</v>
      </c>
      <c r="J15" s="75" t="s">
        <v>133</v>
      </c>
    </row>
    <row r="16" spans="1:10">
      <c r="A16" s="5" t="s">
        <v>398</v>
      </c>
      <c r="B16" s="66">
        <v>7</v>
      </c>
      <c r="C16" s="66">
        <v>7</v>
      </c>
      <c r="D16" s="66">
        <v>7</v>
      </c>
      <c r="E16" s="66">
        <v>0</v>
      </c>
      <c r="F16" s="66">
        <v>0</v>
      </c>
      <c r="G16" s="66">
        <v>0</v>
      </c>
      <c r="H16" s="66">
        <v>0</v>
      </c>
      <c r="I16" s="66">
        <v>3</v>
      </c>
      <c r="J16" s="66">
        <v>0</v>
      </c>
    </row>
    <row r="17" spans="1:10">
      <c r="A17" s="5" t="s">
        <v>126</v>
      </c>
      <c r="B17" s="66">
        <v>0</v>
      </c>
      <c r="C17" s="66">
        <v>11</v>
      </c>
      <c r="D17" s="66">
        <v>11</v>
      </c>
      <c r="E17" s="66">
        <v>0</v>
      </c>
      <c r="F17" s="66">
        <v>11</v>
      </c>
      <c r="G17" s="66">
        <v>0</v>
      </c>
      <c r="H17" s="66">
        <v>0</v>
      </c>
      <c r="I17" s="66">
        <v>0</v>
      </c>
      <c r="J17" s="66">
        <v>0</v>
      </c>
    </row>
    <row r="18" spans="1:10">
      <c r="A18" s="5" t="s">
        <v>141</v>
      </c>
      <c r="B18" s="66">
        <v>0</v>
      </c>
      <c r="C18" s="66">
        <v>0</v>
      </c>
      <c r="D18" s="66">
        <v>7</v>
      </c>
      <c r="E18" s="66">
        <v>7</v>
      </c>
      <c r="F18" s="66">
        <v>0</v>
      </c>
      <c r="G18" s="66">
        <v>7</v>
      </c>
      <c r="H18" s="66">
        <v>0</v>
      </c>
      <c r="I18" s="66">
        <v>0</v>
      </c>
      <c r="J18" s="66">
        <v>0</v>
      </c>
    </row>
    <row r="19" spans="1:10">
      <c r="A19" s="5" t="s">
        <v>399</v>
      </c>
      <c r="B19" s="66">
        <v>0</v>
      </c>
      <c r="C19" s="66">
        <v>0</v>
      </c>
      <c r="D19" s="66">
        <v>83</v>
      </c>
      <c r="E19" s="66">
        <v>83</v>
      </c>
      <c r="F19" s="66">
        <v>0</v>
      </c>
      <c r="G19" s="66">
        <v>83</v>
      </c>
      <c r="H19" s="66">
        <v>0</v>
      </c>
      <c r="I19" s="66">
        <v>0</v>
      </c>
      <c r="J19" s="66">
        <v>0</v>
      </c>
    </row>
    <row r="20" spans="1:10">
      <c r="A20" s="5" t="s">
        <v>400</v>
      </c>
      <c r="B20" s="66">
        <v>12</v>
      </c>
      <c r="C20" s="66">
        <v>12</v>
      </c>
      <c r="D20" s="66">
        <v>0</v>
      </c>
      <c r="E20" s="66">
        <v>0</v>
      </c>
      <c r="F20" s="66">
        <v>0</v>
      </c>
      <c r="G20" s="66">
        <v>0</v>
      </c>
      <c r="H20" s="66">
        <v>0</v>
      </c>
      <c r="I20" s="66">
        <v>12</v>
      </c>
      <c r="J20" s="66">
        <v>0</v>
      </c>
    </row>
    <row r="21" spans="1:10">
      <c r="A21" s="5" t="s">
        <v>401</v>
      </c>
      <c r="B21" s="66">
        <v>0</v>
      </c>
      <c r="C21" s="66">
        <v>0</v>
      </c>
      <c r="D21" s="66">
        <v>2</v>
      </c>
      <c r="E21" s="66">
        <v>2</v>
      </c>
      <c r="F21" s="66">
        <v>0</v>
      </c>
      <c r="G21" s="66">
        <v>0</v>
      </c>
      <c r="H21" s="66">
        <v>0</v>
      </c>
      <c r="I21" s="66">
        <v>0</v>
      </c>
      <c r="J21" s="66">
        <v>2</v>
      </c>
    </row>
    <row r="22" spans="1:10">
      <c r="A22" s="5" t="s">
        <v>402</v>
      </c>
      <c r="B22" s="66">
        <v>4</v>
      </c>
      <c r="C22" s="66">
        <v>4</v>
      </c>
      <c r="D22" s="66">
        <v>4</v>
      </c>
      <c r="E22" s="66">
        <v>0</v>
      </c>
      <c r="F22" s="66">
        <v>0</v>
      </c>
      <c r="G22" s="66">
        <v>0</v>
      </c>
      <c r="H22" s="66">
        <v>0</v>
      </c>
      <c r="I22" s="66">
        <v>0</v>
      </c>
      <c r="J22" s="66">
        <v>0</v>
      </c>
    </row>
    <row r="24" spans="1:10">
      <c r="A24" s="3" t="s">
        <v>403</v>
      </c>
    </row>
    <row r="25" spans="1:10" ht="43.2">
      <c r="A25" s="75" t="s">
        <v>119</v>
      </c>
      <c r="B25" s="67" t="s">
        <v>61</v>
      </c>
      <c r="C25" s="67" t="s">
        <v>62</v>
      </c>
      <c r="D25" s="67" t="s">
        <v>63</v>
      </c>
      <c r="E25" s="67" t="s">
        <v>64</v>
      </c>
      <c r="F25" s="67" t="s">
        <v>65</v>
      </c>
      <c r="G25" s="67" t="s">
        <v>56</v>
      </c>
      <c r="H25" s="67" t="s">
        <v>66</v>
      </c>
      <c r="I25" s="67" t="s">
        <v>67</v>
      </c>
      <c r="J25" s="67" t="s">
        <v>68</v>
      </c>
    </row>
    <row r="26" spans="1:10">
      <c r="A26" s="5" t="s">
        <v>138</v>
      </c>
      <c r="B26" s="66">
        <v>3</v>
      </c>
      <c r="C26" s="66">
        <v>3</v>
      </c>
      <c r="D26" s="66">
        <v>3</v>
      </c>
      <c r="E26" s="66">
        <v>0</v>
      </c>
      <c r="F26" s="66">
        <v>0</v>
      </c>
      <c r="G26" s="66">
        <v>0</v>
      </c>
      <c r="H26" s="66">
        <v>0</v>
      </c>
      <c r="I26" s="66">
        <v>0</v>
      </c>
      <c r="J26" s="66">
        <v>0</v>
      </c>
    </row>
    <row r="27" spans="1:10">
      <c r="A27" s="5" t="s">
        <v>123</v>
      </c>
      <c r="B27" s="66">
        <v>3</v>
      </c>
      <c r="C27" s="66">
        <v>3</v>
      </c>
      <c r="D27" s="66">
        <v>0</v>
      </c>
      <c r="E27" s="66">
        <v>0</v>
      </c>
      <c r="F27" s="66">
        <v>0</v>
      </c>
      <c r="G27" s="66">
        <v>0</v>
      </c>
      <c r="H27" s="66">
        <v>0</v>
      </c>
      <c r="I27" s="66">
        <v>3</v>
      </c>
      <c r="J27" s="66">
        <v>0</v>
      </c>
    </row>
    <row r="28" spans="1:10">
      <c r="A28" s="5" t="s">
        <v>55</v>
      </c>
      <c r="B28" s="66">
        <v>0</v>
      </c>
      <c r="C28" s="66">
        <v>0</v>
      </c>
      <c r="D28" s="66">
        <v>13</v>
      </c>
      <c r="E28" s="66">
        <v>13</v>
      </c>
      <c r="F28" s="66">
        <v>0</v>
      </c>
      <c r="G28" s="66">
        <v>13</v>
      </c>
      <c r="H28" s="66">
        <v>0</v>
      </c>
      <c r="I28" s="66">
        <v>0</v>
      </c>
      <c r="J28" s="66">
        <v>0</v>
      </c>
    </row>
    <row r="29" spans="1:10">
      <c r="A29" s="5" t="s">
        <v>135</v>
      </c>
      <c r="B29" s="66">
        <v>0</v>
      </c>
      <c r="C29" s="66">
        <v>0</v>
      </c>
      <c r="D29" s="66">
        <v>2</v>
      </c>
      <c r="E29" s="66">
        <v>2</v>
      </c>
      <c r="F29" s="66">
        <v>0</v>
      </c>
      <c r="G29" s="66">
        <v>0</v>
      </c>
      <c r="H29" s="66">
        <v>0</v>
      </c>
      <c r="I29" s="66">
        <v>0</v>
      </c>
      <c r="J29" s="66">
        <v>2</v>
      </c>
    </row>
    <row r="30" spans="1:10">
      <c r="A30" s="5" t="s">
        <v>169</v>
      </c>
      <c r="B30" s="66">
        <v>2</v>
      </c>
      <c r="C30" s="66">
        <v>2</v>
      </c>
      <c r="D30" s="66">
        <v>2</v>
      </c>
      <c r="E30" s="66">
        <v>0</v>
      </c>
      <c r="F30" s="66">
        <v>0</v>
      </c>
      <c r="G30" s="66">
        <v>0</v>
      </c>
      <c r="H30" s="66">
        <v>0</v>
      </c>
      <c r="I30" s="66">
        <v>0</v>
      </c>
      <c r="J30" s="66">
        <v>0</v>
      </c>
    </row>
    <row r="31" spans="1:10">
      <c r="A31" s="5" t="s">
        <v>150</v>
      </c>
      <c r="B31" s="66">
        <v>0</v>
      </c>
      <c r="C31" s="66">
        <v>0</v>
      </c>
      <c r="D31" s="66">
        <v>0</v>
      </c>
      <c r="E31" s="66">
        <v>3</v>
      </c>
      <c r="F31" s="66">
        <v>0</v>
      </c>
      <c r="G31" s="66">
        <v>3</v>
      </c>
      <c r="H31" s="66">
        <v>0</v>
      </c>
      <c r="I31" s="66">
        <v>0</v>
      </c>
      <c r="J31" s="66">
        <v>3</v>
      </c>
    </row>
    <row r="32" spans="1:10">
      <c r="A32" s="5" t="s">
        <v>129</v>
      </c>
      <c r="B32" s="66">
        <v>7</v>
      </c>
      <c r="C32" s="66">
        <v>7</v>
      </c>
      <c r="D32" s="66">
        <v>0</v>
      </c>
      <c r="E32" s="66">
        <v>0</v>
      </c>
      <c r="F32" s="66">
        <v>0</v>
      </c>
      <c r="G32" s="66">
        <v>0</v>
      </c>
      <c r="H32" s="66">
        <v>0</v>
      </c>
      <c r="I32" s="66">
        <v>7</v>
      </c>
      <c r="J32" s="66">
        <v>0</v>
      </c>
    </row>
    <row r="33" spans="1:10">
      <c r="A33" s="5" t="s">
        <v>125</v>
      </c>
      <c r="B33" s="66">
        <v>0</v>
      </c>
      <c r="C33" s="66">
        <v>7</v>
      </c>
      <c r="D33" s="66">
        <v>7</v>
      </c>
      <c r="E33" s="66">
        <v>0</v>
      </c>
      <c r="F33" s="66">
        <v>7</v>
      </c>
      <c r="G33" s="66">
        <v>0</v>
      </c>
      <c r="H33" s="66">
        <v>0</v>
      </c>
      <c r="I33" s="66">
        <v>0</v>
      </c>
      <c r="J33" s="66">
        <v>0</v>
      </c>
    </row>
    <row r="34" spans="1:10">
      <c r="A34" s="5" t="s">
        <v>140</v>
      </c>
      <c r="B34" s="66">
        <v>0</v>
      </c>
      <c r="C34" s="66">
        <v>0</v>
      </c>
      <c r="D34" s="66">
        <v>4</v>
      </c>
      <c r="E34" s="66">
        <v>4</v>
      </c>
      <c r="F34" s="66">
        <v>0</v>
      </c>
      <c r="G34" s="66">
        <v>4</v>
      </c>
      <c r="H34" s="66">
        <v>0</v>
      </c>
      <c r="I34" s="66">
        <v>0</v>
      </c>
      <c r="J34" s="66">
        <v>0</v>
      </c>
    </row>
    <row r="35" spans="1:10">
      <c r="A35" s="5" t="s">
        <v>132</v>
      </c>
      <c r="B35" s="66">
        <v>0</v>
      </c>
      <c r="C35" s="66">
        <v>0</v>
      </c>
      <c r="D35" s="66">
        <v>0</v>
      </c>
      <c r="E35" s="66">
        <v>3</v>
      </c>
      <c r="F35" s="66">
        <v>0</v>
      </c>
      <c r="G35" s="66">
        <v>3</v>
      </c>
      <c r="H35" s="66">
        <v>0</v>
      </c>
      <c r="I35" s="66">
        <v>0</v>
      </c>
      <c r="J35" s="66">
        <v>3</v>
      </c>
    </row>
    <row r="37" spans="1:10">
      <c r="A37" s="3" t="s">
        <v>404</v>
      </c>
    </row>
    <row r="38" spans="1:10" ht="43.2">
      <c r="A38" s="75" t="s">
        <v>58</v>
      </c>
      <c r="B38" s="75" t="s">
        <v>61</v>
      </c>
      <c r="C38" s="75" t="s">
        <v>62</v>
      </c>
      <c r="D38" s="75" t="s">
        <v>63</v>
      </c>
      <c r="E38" s="75" t="s">
        <v>64</v>
      </c>
      <c r="F38" s="75" t="s">
        <v>65</v>
      </c>
      <c r="G38" s="75" t="s">
        <v>56</v>
      </c>
      <c r="H38" s="75" t="s">
        <v>66</v>
      </c>
      <c r="I38" s="75" t="s">
        <v>67</v>
      </c>
      <c r="J38" s="75" t="s">
        <v>68</v>
      </c>
    </row>
    <row r="39" spans="1:10">
      <c r="A39" s="5" t="s">
        <v>5</v>
      </c>
      <c r="B39" s="5">
        <v>12</v>
      </c>
      <c r="C39" s="5">
        <v>8</v>
      </c>
      <c r="D39" s="5">
        <v>15</v>
      </c>
      <c r="E39" s="5">
        <v>10</v>
      </c>
      <c r="F39" s="5">
        <v>7</v>
      </c>
      <c r="G39" s="5">
        <v>9</v>
      </c>
      <c r="H39" s="5">
        <v>2</v>
      </c>
      <c r="I39" s="5">
        <v>3</v>
      </c>
      <c r="J39" s="5">
        <v>4</v>
      </c>
    </row>
    <row r="40" spans="1:10">
      <c r="A40" s="5" t="s">
        <v>405</v>
      </c>
      <c r="B40" s="5">
        <v>14</v>
      </c>
      <c r="C40" s="5">
        <v>9</v>
      </c>
      <c r="D40" s="5">
        <v>6</v>
      </c>
      <c r="E40" s="5">
        <v>11</v>
      </c>
      <c r="F40" s="5">
        <v>8</v>
      </c>
      <c r="G40" s="5">
        <v>5</v>
      </c>
      <c r="H40" s="5">
        <v>3</v>
      </c>
      <c r="I40" s="5">
        <v>2</v>
      </c>
      <c r="J40" s="5">
        <v>6</v>
      </c>
    </row>
    <row r="41" spans="1:10">
      <c r="A41" s="5" t="s">
        <v>19</v>
      </c>
      <c r="B41" s="5">
        <v>7</v>
      </c>
      <c r="C41" s="5">
        <v>13</v>
      </c>
      <c r="D41" s="5">
        <v>5</v>
      </c>
      <c r="E41" s="5">
        <v>6</v>
      </c>
      <c r="F41" s="5">
        <v>10</v>
      </c>
      <c r="G41" s="5">
        <v>4</v>
      </c>
      <c r="H41" s="5">
        <v>1</v>
      </c>
      <c r="I41" s="5">
        <v>14</v>
      </c>
      <c r="J41" s="5">
        <v>2</v>
      </c>
    </row>
    <row r="42" spans="1:10">
      <c r="A42" s="5" t="s">
        <v>406</v>
      </c>
      <c r="B42" s="5">
        <v>6</v>
      </c>
      <c r="C42" s="5">
        <v>11</v>
      </c>
      <c r="D42" s="5">
        <v>4</v>
      </c>
      <c r="E42" s="5">
        <v>5</v>
      </c>
      <c r="F42" s="5">
        <v>7</v>
      </c>
      <c r="G42" s="5">
        <v>3</v>
      </c>
      <c r="H42" s="5">
        <v>1</v>
      </c>
      <c r="I42" s="5">
        <v>12</v>
      </c>
      <c r="J42" s="5">
        <v>2</v>
      </c>
    </row>
    <row r="43" spans="1:10">
      <c r="A43" s="5" t="s">
        <v>72</v>
      </c>
      <c r="B43" s="5">
        <v>9</v>
      </c>
      <c r="C43" s="5">
        <v>6</v>
      </c>
      <c r="D43" s="5">
        <v>4</v>
      </c>
      <c r="E43" s="5">
        <v>7</v>
      </c>
      <c r="F43" s="5">
        <v>8</v>
      </c>
      <c r="G43" s="5">
        <v>3</v>
      </c>
      <c r="H43" s="5">
        <v>12</v>
      </c>
      <c r="I43" s="5">
        <v>2</v>
      </c>
      <c r="J43" s="5">
        <v>2</v>
      </c>
    </row>
    <row r="44" spans="1:10">
      <c r="A44" s="5" t="s">
        <v>407</v>
      </c>
      <c r="B44" s="5">
        <v>5</v>
      </c>
      <c r="C44" s="5">
        <v>4</v>
      </c>
      <c r="D44" s="5">
        <v>6</v>
      </c>
      <c r="E44" s="5">
        <v>7</v>
      </c>
      <c r="F44" s="5">
        <v>3</v>
      </c>
      <c r="G44" s="5">
        <v>5</v>
      </c>
      <c r="H44" s="5">
        <v>2</v>
      </c>
      <c r="I44" s="5">
        <v>1</v>
      </c>
      <c r="J44" s="5">
        <v>15</v>
      </c>
    </row>
  </sheetData>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07CDB-366E-45F1-9997-17C602A4E54E}">
  <sheetPr filterMode="1">
    <tabColor theme="1" tint="4.9989318521683403E-2"/>
  </sheetPr>
  <dimension ref="A1:V130"/>
  <sheetViews>
    <sheetView showGridLines="0" zoomScaleNormal="100" workbookViewId="0">
      <pane xSplit="1" ySplit="2" topLeftCell="B54" activePane="bottomRight" state="frozen"/>
      <selection pane="topRight" activeCell="B1" sqref="B1"/>
      <selection pane="bottomLeft" activeCell="A3" sqref="A3"/>
      <selection pane="bottomRight" activeCell="D59" sqref="D59:D69"/>
    </sheetView>
  </sheetViews>
  <sheetFormatPr defaultColWidth="9.109375" defaultRowHeight="13.8"/>
  <cols>
    <col min="1" max="1" width="3.5546875" style="7" customWidth="1"/>
    <col min="2" max="3" width="11.5546875" style="7" bestFit="1" customWidth="1"/>
    <col min="4" max="4" width="53.109375" style="7" bestFit="1" customWidth="1"/>
    <col min="5" max="5" width="40.5546875" style="8" hidden="1" customWidth="1"/>
    <col min="6" max="6" width="69.33203125" style="8" hidden="1" customWidth="1"/>
    <col min="7" max="7" width="65.33203125" style="8" customWidth="1"/>
    <col min="8" max="8" width="59.5546875" style="8" hidden="1" customWidth="1"/>
    <col min="9" max="9" width="135.88671875" style="8" hidden="1" customWidth="1"/>
    <col min="10" max="10" width="37.5546875" style="8" customWidth="1"/>
    <col min="11" max="11" width="31.109375" style="8" customWidth="1"/>
    <col min="12" max="12" width="45.5546875" style="8" customWidth="1"/>
    <col min="13" max="13" width="23.88671875" style="8" customWidth="1"/>
    <col min="14" max="14" width="37.6640625" style="8" customWidth="1"/>
    <col min="15" max="15" width="13.5546875" style="7" bestFit="1" customWidth="1"/>
    <col min="16" max="16" width="3.44140625" style="8" customWidth="1"/>
    <col min="17" max="17" width="51.5546875" style="8" customWidth="1"/>
    <col min="18" max="18" width="13.5546875" style="7" customWidth="1"/>
    <col min="19" max="19" width="14.6640625" style="7" bestFit="1" customWidth="1"/>
    <col min="20" max="20" width="14.6640625" style="7" customWidth="1"/>
    <col min="21" max="21" width="8.5546875" style="7" customWidth="1"/>
    <col min="22" max="22" width="10.109375" style="8" bestFit="1" customWidth="1"/>
    <col min="23" max="16384" width="9.109375" style="8"/>
  </cols>
  <sheetData>
    <row r="1" spans="2:22">
      <c r="R1" s="128" t="s">
        <v>408</v>
      </c>
      <c r="S1" s="128"/>
      <c r="T1" s="128"/>
      <c r="U1" s="128"/>
    </row>
    <row r="2" spans="2:22">
      <c r="B2" s="10" t="s">
        <v>409</v>
      </c>
      <c r="C2" s="10" t="s">
        <v>79</v>
      </c>
      <c r="D2" s="9" t="s">
        <v>74</v>
      </c>
      <c r="E2" s="9" t="s">
        <v>410</v>
      </c>
      <c r="F2" s="9" t="s">
        <v>78</v>
      </c>
      <c r="G2" s="9" t="s">
        <v>75</v>
      </c>
      <c r="H2" s="11" t="s">
        <v>411</v>
      </c>
      <c r="I2" s="9" t="s">
        <v>412</v>
      </c>
      <c r="J2" s="9" t="s">
        <v>413</v>
      </c>
      <c r="K2" s="9" t="s">
        <v>77</v>
      </c>
      <c r="L2" s="9" t="s">
        <v>414</v>
      </c>
      <c r="M2" s="9" t="s">
        <v>415</v>
      </c>
      <c r="N2" s="9" t="s">
        <v>416</v>
      </c>
      <c r="O2" s="9" t="s">
        <v>417</v>
      </c>
      <c r="Q2" s="12" t="s">
        <v>413</v>
      </c>
      <c r="R2" s="12" t="s">
        <v>199</v>
      </c>
      <c r="S2" s="12" t="s">
        <v>121</v>
      </c>
      <c r="T2" s="12" t="s">
        <v>145</v>
      </c>
      <c r="U2" s="13" t="s">
        <v>418</v>
      </c>
      <c r="V2" s="13" t="s">
        <v>419</v>
      </c>
    </row>
    <row r="3" spans="2:22" hidden="1">
      <c r="B3" s="37"/>
      <c r="C3" s="37" t="s">
        <v>507</v>
      </c>
      <c r="D3" s="37" t="s">
        <v>638</v>
      </c>
      <c r="E3" s="38" t="s">
        <v>639</v>
      </c>
      <c r="F3" s="37" t="s">
        <v>640</v>
      </c>
      <c r="G3" s="37" t="s">
        <v>641</v>
      </c>
      <c r="H3" s="37" t="s">
        <v>627</v>
      </c>
      <c r="I3" s="37" t="s">
        <v>426</v>
      </c>
      <c r="J3" s="37" t="s">
        <v>121</v>
      </c>
      <c r="K3" s="131">
        <v>46072.583333333336</v>
      </c>
      <c r="L3" s="51"/>
      <c r="M3" s="51"/>
      <c r="N3" s="50">
        <v>4.1666666666666664E-2</v>
      </c>
      <c r="O3" s="50">
        <v>4.1666666666666664E-2</v>
      </c>
      <c r="Q3" s="18" t="s">
        <v>426</v>
      </c>
      <c r="R3" s="19">
        <f t="shared" ref="R3:T5" si="0">COUNTIFS($J:$J,$Q3,$K:$K,R$2)</f>
        <v>0</v>
      </c>
      <c r="S3" s="19">
        <f t="shared" si="0"/>
        <v>0</v>
      </c>
      <c r="T3" s="19">
        <f t="shared" si="0"/>
        <v>0</v>
      </c>
      <c r="U3" s="20">
        <f>SUM(R3:T3)</f>
        <v>0</v>
      </c>
      <c r="V3" s="21" t="e">
        <f>R3/$R$6</f>
        <v>#DIV/0!</v>
      </c>
    </row>
    <row r="4" spans="2:22" hidden="1">
      <c r="B4" s="6"/>
      <c r="C4" s="6" t="s">
        <v>433</v>
      </c>
      <c r="D4" s="6" t="s">
        <v>81</v>
      </c>
      <c r="E4" s="29" t="s">
        <v>658</v>
      </c>
      <c r="F4" s="6" t="s">
        <v>654</v>
      </c>
      <c r="G4" s="6" t="s">
        <v>659</v>
      </c>
      <c r="H4" s="6" t="s">
        <v>627</v>
      </c>
      <c r="I4" s="6" t="s">
        <v>426</v>
      </c>
      <c r="J4" s="6" t="s">
        <v>121</v>
      </c>
      <c r="K4" s="46">
        <v>46073.375</v>
      </c>
      <c r="L4" s="46"/>
      <c r="M4" s="46"/>
      <c r="N4" s="47">
        <v>4.1666666666666664E-2</v>
      </c>
      <c r="O4" s="47">
        <v>4.1666666666666664E-2</v>
      </c>
      <c r="Q4" s="28" t="s">
        <v>432</v>
      </c>
      <c r="R4" s="19">
        <f t="shared" si="0"/>
        <v>0</v>
      </c>
      <c r="S4" s="19">
        <f t="shared" si="0"/>
        <v>0</v>
      </c>
      <c r="T4" s="19">
        <f t="shared" si="0"/>
        <v>0</v>
      </c>
      <c r="U4" s="20">
        <f t="shared" ref="U4:U5" si="1">SUM(R4:T4)</f>
        <v>0</v>
      </c>
      <c r="V4" s="21" t="e">
        <f>R4/$R$6</f>
        <v>#DIV/0!</v>
      </c>
    </row>
    <row r="5" spans="2:22" hidden="1">
      <c r="B5" s="6"/>
      <c r="C5" s="6" t="s">
        <v>433</v>
      </c>
      <c r="D5" s="6" t="s">
        <v>84</v>
      </c>
      <c r="E5" s="29" t="s">
        <v>660</v>
      </c>
      <c r="F5" s="6" t="s">
        <v>654</v>
      </c>
      <c r="G5" s="6" t="s">
        <v>661</v>
      </c>
      <c r="H5" s="6" t="s">
        <v>627</v>
      </c>
      <c r="I5" s="6" t="s">
        <v>426</v>
      </c>
      <c r="J5" s="6" t="s">
        <v>121</v>
      </c>
      <c r="K5" s="46">
        <v>46073.4375</v>
      </c>
      <c r="L5" s="46"/>
      <c r="M5" s="46"/>
      <c r="N5" s="47">
        <v>4.1666666666666664E-2</v>
      </c>
      <c r="O5" s="47">
        <v>4.1666666666666664E-2</v>
      </c>
      <c r="Q5" s="28" t="s">
        <v>437</v>
      </c>
      <c r="R5" s="19">
        <f t="shared" si="0"/>
        <v>0</v>
      </c>
      <c r="S5" s="19">
        <f t="shared" si="0"/>
        <v>0</v>
      </c>
      <c r="T5" s="19">
        <f t="shared" si="0"/>
        <v>0</v>
      </c>
      <c r="U5" s="20">
        <f t="shared" si="1"/>
        <v>0</v>
      </c>
      <c r="V5" s="21" t="e">
        <f>R5/$R$6</f>
        <v>#DIV/0!</v>
      </c>
    </row>
    <row r="6" spans="2:22" hidden="1">
      <c r="B6" s="6"/>
      <c r="C6" s="6" t="s">
        <v>433</v>
      </c>
      <c r="D6" s="6" t="s">
        <v>86</v>
      </c>
      <c r="E6" s="29" t="s">
        <v>631</v>
      </c>
      <c r="F6" s="6" t="s">
        <v>632</v>
      </c>
      <c r="G6" s="6" t="s">
        <v>633</v>
      </c>
      <c r="H6" s="6" t="s">
        <v>627</v>
      </c>
      <c r="I6" s="6" t="s">
        <v>426</v>
      </c>
      <c r="J6" s="6" t="s">
        <v>121</v>
      </c>
      <c r="K6" s="46">
        <v>46073.5625</v>
      </c>
      <c r="L6" s="46"/>
      <c r="M6" s="46"/>
      <c r="N6" s="47">
        <v>4.1666666666666664E-2</v>
      </c>
      <c r="O6" s="47">
        <v>4.1666666666666664E-2</v>
      </c>
      <c r="Q6" s="30" t="s">
        <v>418</v>
      </c>
      <c r="R6" s="31">
        <f>SUM(R3:R5)</f>
        <v>0</v>
      </c>
      <c r="S6" s="31">
        <f>SUM(S3:S5)</f>
        <v>0</v>
      </c>
      <c r="T6" s="31">
        <f>SUM(T3:T5)</f>
        <v>0</v>
      </c>
      <c r="U6" s="31">
        <f>SUM(U3:U5)</f>
        <v>0</v>
      </c>
      <c r="V6" s="32" t="e">
        <f>SUM(V3:V5)</f>
        <v>#DIV/0!</v>
      </c>
    </row>
    <row r="7" spans="2:22" hidden="1">
      <c r="B7" s="37"/>
      <c r="C7" s="37" t="s">
        <v>507</v>
      </c>
      <c r="D7" s="37" t="s">
        <v>88</v>
      </c>
      <c r="E7" s="38" t="s">
        <v>650</v>
      </c>
      <c r="F7" s="37" t="s">
        <v>644</v>
      </c>
      <c r="G7" s="37" t="s">
        <v>1400</v>
      </c>
      <c r="H7" s="37" t="s">
        <v>627</v>
      </c>
      <c r="I7" s="37" t="s">
        <v>426</v>
      </c>
      <c r="J7" s="37" t="s">
        <v>121</v>
      </c>
      <c r="K7" s="49">
        <v>46073.625</v>
      </c>
      <c r="L7" s="49"/>
      <c r="M7" s="49"/>
      <c r="N7" s="50">
        <v>4.1666666666666664E-2</v>
      </c>
      <c r="O7" s="50">
        <v>4.1666666666666664E-2</v>
      </c>
    </row>
    <row r="8" spans="2:22" hidden="1">
      <c r="B8" s="37"/>
      <c r="C8" s="37" t="s">
        <v>507</v>
      </c>
      <c r="D8" s="37" t="s">
        <v>91</v>
      </c>
      <c r="E8" s="38" t="s">
        <v>653</v>
      </c>
      <c r="F8" s="37" t="s">
        <v>654</v>
      </c>
      <c r="G8" s="37" t="s">
        <v>655</v>
      </c>
      <c r="H8" s="37" t="s">
        <v>627</v>
      </c>
      <c r="I8" s="37" t="s">
        <v>426</v>
      </c>
      <c r="J8" s="37" t="s">
        <v>121</v>
      </c>
      <c r="K8" s="49">
        <v>46073.708333333336</v>
      </c>
      <c r="L8" s="49"/>
      <c r="M8" s="49"/>
      <c r="N8" s="50">
        <v>4.1666666666666664E-2</v>
      </c>
      <c r="O8" s="50">
        <v>4.1666666666666664E-2</v>
      </c>
    </row>
    <row r="9" spans="2:22" ht="14.4" hidden="1">
      <c r="B9" s="6"/>
      <c r="C9" s="6" t="s">
        <v>433</v>
      </c>
      <c r="D9" s="6" t="s">
        <v>93</v>
      </c>
      <c r="E9" s="54" t="s">
        <v>656</v>
      </c>
      <c r="F9" s="6" t="s">
        <v>654</v>
      </c>
      <c r="G9" s="6" t="s">
        <v>657</v>
      </c>
      <c r="H9" s="6" t="s">
        <v>627</v>
      </c>
      <c r="I9" s="6" t="s">
        <v>432</v>
      </c>
      <c r="J9" s="6" t="s">
        <v>121</v>
      </c>
      <c r="K9" s="46">
        <v>46076.4375</v>
      </c>
      <c r="L9" s="46"/>
      <c r="M9" s="46"/>
      <c r="N9" s="47">
        <v>4.1666666666666664E-2</v>
      </c>
      <c r="O9" s="47">
        <v>4.1666666666666664E-2</v>
      </c>
    </row>
    <row r="10" spans="2:22" hidden="1">
      <c r="B10" s="6"/>
      <c r="C10" s="6" t="s">
        <v>433</v>
      </c>
      <c r="D10" s="6" t="s">
        <v>95</v>
      </c>
      <c r="E10" s="29" t="s">
        <v>664</v>
      </c>
      <c r="F10" s="6" t="s">
        <v>632</v>
      </c>
      <c r="G10" s="6" t="s">
        <v>665</v>
      </c>
      <c r="H10" s="6" t="s">
        <v>627</v>
      </c>
      <c r="I10" s="6" t="s">
        <v>426</v>
      </c>
      <c r="J10" s="6" t="s">
        <v>121</v>
      </c>
      <c r="K10" s="46">
        <v>46076.583333333336</v>
      </c>
      <c r="L10" s="46"/>
      <c r="M10" s="46"/>
      <c r="N10" s="47">
        <v>4.1666666666666664E-2</v>
      </c>
      <c r="O10" s="109">
        <v>4.1666666666666664E-2</v>
      </c>
    </row>
    <row r="11" spans="2:22" hidden="1">
      <c r="B11" s="37"/>
      <c r="C11" s="37" t="s">
        <v>507</v>
      </c>
      <c r="D11" s="37" t="s">
        <v>97</v>
      </c>
      <c r="E11" s="38" t="s">
        <v>666</v>
      </c>
      <c r="F11" s="37" t="s">
        <v>632</v>
      </c>
      <c r="G11" s="37" t="s">
        <v>667</v>
      </c>
      <c r="H11" s="37" t="s">
        <v>627</v>
      </c>
      <c r="I11" s="37" t="s">
        <v>432</v>
      </c>
      <c r="J11" s="37" t="s">
        <v>121</v>
      </c>
      <c r="K11" s="49">
        <v>46076.645833333336</v>
      </c>
      <c r="L11" s="49"/>
      <c r="M11" s="49"/>
      <c r="N11" s="50">
        <v>4.1666666666666664E-2</v>
      </c>
      <c r="O11" s="50">
        <v>4.1666666666666664E-2</v>
      </c>
    </row>
    <row r="12" spans="2:22" hidden="1">
      <c r="B12" s="33"/>
      <c r="C12" s="33" t="s">
        <v>453</v>
      </c>
      <c r="D12" s="41" t="s">
        <v>99</v>
      </c>
      <c r="E12" s="34" t="s">
        <v>669</v>
      </c>
      <c r="F12" s="33" t="s">
        <v>632</v>
      </c>
      <c r="G12" s="33" t="s">
        <v>670</v>
      </c>
      <c r="H12" s="33" t="s">
        <v>627</v>
      </c>
      <c r="I12" s="33" t="s">
        <v>432</v>
      </c>
      <c r="J12" s="33" t="s">
        <v>121</v>
      </c>
      <c r="K12" s="56">
        <v>46077.458333333336</v>
      </c>
      <c r="L12" s="56"/>
      <c r="M12" s="56"/>
      <c r="N12" s="132">
        <v>4.1666666666666664E-2</v>
      </c>
      <c r="O12" s="52">
        <v>4.1666666666666664E-2</v>
      </c>
    </row>
    <row r="13" spans="2:22" hidden="1">
      <c r="B13" s="33"/>
      <c r="C13" s="33" t="s">
        <v>453</v>
      </c>
      <c r="D13" s="33" t="s">
        <v>101</v>
      </c>
      <c r="E13" s="34" t="s">
        <v>668</v>
      </c>
      <c r="F13" s="33" t="s">
        <v>632</v>
      </c>
      <c r="G13" s="33" t="s">
        <v>645</v>
      </c>
      <c r="H13" s="33" t="s">
        <v>627</v>
      </c>
      <c r="I13" s="33" t="s">
        <v>432</v>
      </c>
      <c r="J13" s="33" t="s">
        <v>121</v>
      </c>
      <c r="K13" s="56">
        <v>46077.5625</v>
      </c>
      <c r="L13" s="33"/>
      <c r="M13" s="33"/>
      <c r="N13" s="52">
        <v>4.1666666666666664E-2</v>
      </c>
      <c r="O13" s="52">
        <v>4.1666666666666664E-2</v>
      </c>
    </row>
    <row r="14" spans="2:22" hidden="1">
      <c r="B14" s="22"/>
      <c r="C14" s="22" t="s">
        <v>445</v>
      </c>
      <c r="D14" s="23" t="s">
        <v>103</v>
      </c>
      <c r="E14" s="24" t="s">
        <v>680</v>
      </c>
      <c r="F14" s="23" t="s">
        <v>632</v>
      </c>
      <c r="G14" s="23" t="s">
        <v>681</v>
      </c>
      <c r="H14" s="25" t="s">
        <v>627</v>
      </c>
      <c r="I14" s="26" t="s">
        <v>426</v>
      </c>
      <c r="J14" s="26" t="s">
        <v>121</v>
      </c>
      <c r="K14" s="133">
        <v>46077.6875</v>
      </c>
      <c r="L14" s="87"/>
      <c r="M14" s="87"/>
      <c r="N14" s="134">
        <v>4.1666666666666664E-2</v>
      </c>
      <c r="O14" s="45">
        <v>4.1666666666666664E-2</v>
      </c>
    </row>
    <row r="15" spans="2:22" hidden="1">
      <c r="B15" s="33"/>
      <c r="C15" s="33" t="s">
        <v>453</v>
      </c>
      <c r="D15" s="41" t="s">
        <v>642</v>
      </c>
      <c r="E15" s="34" t="s">
        <v>643</v>
      </c>
      <c r="F15" s="33" t="s">
        <v>644</v>
      </c>
      <c r="G15" s="33" t="s">
        <v>645</v>
      </c>
      <c r="H15" s="33" t="s">
        <v>627</v>
      </c>
      <c r="I15" s="33" t="s">
        <v>426</v>
      </c>
      <c r="J15" s="33" t="s">
        <v>121</v>
      </c>
      <c r="K15" s="115">
        <v>46078.375</v>
      </c>
      <c r="L15" s="86"/>
      <c r="M15" s="86"/>
      <c r="N15" s="132">
        <v>4.1666666666666664E-2</v>
      </c>
      <c r="O15" s="52">
        <v>4.1666666666666664E-2</v>
      </c>
    </row>
    <row r="16" spans="2:22" hidden="1">
      <c r="B16" s="6"/>
      <c r="C16" s="6" t="s">
        <v>433</v>
      </c>
      <c r="D16" s="6" t="s">
        <v>106</v>
      </c>
      <c r="E16" s="29" t="s">
        <v>651</v>
      </c>
      <c r="F16" s="6" t="s">
        <v>644</v>
      </c>
      <c r="G16" s="6" t="s">
        <v>652</v>
      </c>
      <c r="H16" s="6" t="s">
        <v>627</v>
      </c>
      <c r="I16" s="6" t="s">
        <v>432</v>
      </c>
      <c r="J16" s="6" t="s">
        <v>121</v>
      </c>
      <c r="K16" s="46">
        <v>46078.645833333336</v>
      </c>
      <c r="L16" s="46"/>
      <c r="M16" s="46"/>
      <c r="N16" s="47">
        <v>4.1666666666666664E-2</v>
      </c>
      <c r="O16" s="47">
        <v>4.1666666666666664E-2</v>
      </c>
    </row>
    <row r="17" spans="1:22" hidden="1">
      <c r="B17" s="37"/>
      <c r="C17" s="37" t="s">
        <v>507</v>
      </c>
      <c r="D17" s="37" t="s">
        <v>1236</v>
      </c>
      <c r="E17" s="38" t="s">
        <v>662</v>
      </c>
      <c r="F17" s="37" t="s">
        <v>654</v>
      </c>
      <c r="G17" s="37" t="s">
        <v>663</v>
      </c>
      <c r="H17" s="37" t="s">
        <v>627</v>
      </c>
      <c r="I17" s="37" t="s">
        <v>426</v>
      </c>
      <c r="J17" s="37" t="s">
        <v>121</v>
      </c>
      <c r="K17" s="49">
        <v>46079.583333333336</v>
      </c>
      <c r="L17" s="49"/>
      <c r="M17" s="49"/>
      <c r="N17" s="50">
        <v>4.1666666666666664E-2</v>
      </c>
      <c r="O17" s="50">
        <v>4.1666666666666664E-2</v>
      </c>
      <c r="Q17" s="35"/>
      <c r="R17" s="36"/>
      <c r="S17" s="36"/>
      <c r="T17" s="36"/>
      <c r="U17" s="36"/>
      <c r="V17" s="35"/>
    </row>
    <row r="18" spans="1:22" hidden="1">
      <c r="B18" s="33"/>
      <c r="C18" s="33" t="s">
        <v>441</v>
      </c>
      <c r="D18" s="33" t="s">
        <v>115</v>
      </c>
      <c r="E18" s="34" t="s">
        <v>1401</v>
      </c>
      <c r="F18" s="33" t="s">
        <v>632</v>
      </c>
      <c r="G18" s="33" t="s">
        <v>1402</v>
      </c>
      <c r="H18" s="33" t="s">
        <v>627</v>
      </c>
      <c r="I18" s="33" t="s">
        <v>432</v>
      </c>
      <c r="J18" s="33" t="s">
        <v>121</v>
      </c>
      <c r="K18" s="56">
        <v>46080.583333333336</v>
      </c>
      <c r="L18" s="33"/>
      <c r="M18" s="33"/>
      <c r="N18" s="52">
        <v>4.1666666666666664E-2</v>
      </c>
      <c r="O18" s="45">
        <v>4.1666666666666664E-2</v>
      </c>
    </row>
    <row r="19" spans="1:22" hidden="1">
      <c r="B19" s="22"/>
      <c r="C19" s="22" t="s">
        <v>445</v>
      </c>
      <c r="D19" s="23" t="s">
        <v>113</v>
      </c>
      <c r="E19" s="24" t="s">
        <v>628</v>
      </c>
      <c r="F19" s="23" t="s">
        <v>629</v>
      </c>
      <c r="G19" s="23" t="s">
        <v>630</v>
      </c>
      <c r="H19" s="25" t="s">
        <v>627</v>
      </c>
      <c r="I19" s="26" t="s">
        <v>426</v>
      </c>
      <c r="J19" s="26" t="s">
        <v>121</v>
      </c>
      <c r="K19" s="44">
        <v>46080.666666666664</v>
      </c>
      <c r="L19" s="44"/>
      <c r="M19" s="44"/>
      <c r="N19" s="134">
        <v>4.1666666666666664E-2</v>
      </c>
      <c r="O19" s="6"/>
    </row>
    <row r="20" spans="1:22">
      <c r="B20" s="6"/>
      <c r="C20" s="6" t="s">
        <v>433</v>
      </c>
      <c r="D20" s="6" t="s">
        <v>109</v>
      </c>
      <c r="E20" s="29" t="s">
        <v>539</v>
      </c>
      <c r="F20" s="6" t="s">
        <v>540</v>
      </c>
      <c r="G20" s="6" t="s">
        <v>541</v>
      </c>
      <c r="H20" s="6" t="s">
        <v>493</v>
      </c>
      <c r="I20" s="6" t="s">
        <v>426</v>
      </c>
      <c r="J20" s="6" t="s">
        <v>145</v>
      </c>
      <c r="K20" s="46">
        <v>46083.458333333336</v>
      </c>
      <c r="L20" s="6"/>
      <c r="M20" s="6"/>
      <c r="N20" s="47">
        <v>2.7777777777777776E-2</v>
      </c>
      <c r="O20" s="6"/>
    </row>
    <row r="21" spans="1:22">
      <c r="B21" s="37"/>
      <c r="C21" s="37" t="s">
        <v>507</v>
      </c>
      <c r="D21" s="37" t="s">
        <v>111</v>
      </c>
      <c r="E21" s="38" t="s">
        <v>462</v>
      </c>
      <c r="F21" s="37" t="s">
        <v>460</v>
      </c>
      <c r="G21" s="37" t="s">
        <v>463</v>
      </c>
      <c r="H21" s="37" t="s">
        <v>425</v>
      </c>
      <c r="I21" s="37" t="s">
        <v>426</v>
      </c>
      <c r="J21" s="37" t="s">
        <v>145</v>
      </c>
      <c r="K21" s="49">
        <v>46083.625</v>
      </c>
      <c r="L21" s="37"/>
      <c r="M21" s="37"/>
      <c r="N21" s="50">
        <v>2.7777777777777776E-2</v>
      </c>
      <c r="O21" s="6"/>
    </row>
    <row r="22" spans="1:22">
      <c r="B22" s="6"/>
      <c r="C22" s="6" t="s">
        <v>433</v>
      </c>
      <c r="D22" s="6" t="s">
        <v>190</v>
      </c>
      <c r="E22" s="29" t="s">
        <v>450</v>
      </c>
      <c r="F22" s="6" t="s">
        <v>451</v>
      </c>
      <c r="G22" s="6" t="s">
        <v>452</v>
      </c>
      <c r="H22" s="6" t="s">
        <v>425</v>
      </c>
      <c r="I22" s="6" t="s">
        <v>426</v>
      </c>
      <c r="J22" s="6" t="s">
        <v>145</v>
      </c>
      <c r="K22" s="46">
        <v>46084.5625</v>
      </c>
      <c r="L22" s="6"/>
      <c r="M22" s="6"/>
      <c r="N22" s="47">
        <v>2.7777777777777776E-2</v>
      </c>
      <c r="O22" s="6"/>
    </row>
    <row r="23" spans="1:22">
      <c r="B23" s="22"/>
      <c r="C23" s="22" t="s">
        <v>445</v>
      </c>
      <c r="D23" s="23" t="s">
        <v>114</v>
      </c>
      <c r="E23" s="24" t="s">
        <v>486</v>
      </c>
      <c r="F23" s="23" t="s">
        <v>487</v>
      </c>
      <c r="G23" s="23" t="s">
        <v>488</v>
      </c>
      <c r="H23" s="25" t="s">
        <v>425</v>
      </c>
      <c r="I23" s="26" t="s">
        <v>426</v>
      </c>
      <c r="J23" s="26" t="s">
        <v>145</v>
      </c>
      <c r="K23" s="44">
        <v>46084.625</v>
      </c>
      <c r="L23" s="27"/>
      <c r="M23" s="27"/>
      <c r="N23" s="134">
        <v>2.7777777777777776E-2</v>
      </c>
      <c r="O23" s="45"/>
    </row>
    <row r="24" spans="1:22">
      <c r="B24" s="22"/>
      <c r="C24" s="22" t="s">
        <v>445</v>
      </c>
      <c r="D24" s="23" t="s">
        <v>689</v>
      </c>
      <c r="E24" s="24" t="s">
        <v>690</v>
      </c>
      <c r="F24" s="23" t="s">
        <v>691</v>
      </c>
      <c r="G24" s="23" t="s">
        <v>692</v>
      </c>
      <c r="H24" s="25" t="s">
        <v>688</v>
      </c>
      <c r="I24" s="26" t="s">
        <v>426</v>
      </c>
      <c r="J24" s="23" t="s">
        <v>199</v>
      </c>
      <c r="K24" s="44">
        <v>46092.458333333336</v>
      </c>
      <c r="L24" s="44"/>
      <c r="M24" s="44"/>
      <c r="N24" s="134">
        <v>4.1666666666666664E-2</v>
      </c>
      <c r="O24" s="45">
        <v>4.1666666666666664E-2</v>
      </c>
    </row>
    <row r="25" spans="1:22">
      <c r="B25" s="22"/>
      <c r="C25" s="22" t="s">
        <v>445</v>
      </c>
      <c r="D25" s="23" t="s">
        <v>671</v>
      </c>
      <c r="E25" s="24" t="s">
        <v>672</v>
      </c>
      <c r="F25" s="23" t="s">
        <v>673</v>
      </c>
      <c r="G25" s="23" t="s">
        <v>674</v>
      </c>
      <c r="H25" s="25" t="s">
        <v>627</v>
      </c>
      <c r="I25" s="26" t="s">
        <v>426</v>
      </c>
      <c r="J25" s="26" t="s">
        <v>121</v>
      </c>
      <c r="K25" s="44">
        <v>46093.6875</v>
      </c>
      <c r="L25" s="44"/>
      <c r="M25" s="44"/>
      <c r="N25" s="134">
        <v>4.1666666666666664E-2</v>
      </c>
      <c r="O25" s="19"/>
    </row>
    <row r="26" spans="1:22" s="35" customFormat="1">
      <c r="A26" s="36"/>
      <c r="B26" s="22"/>
      <c r="C26" s="22" t="s">
        <v>445</v>
      </c>
      <c r="D26" s="23" t="s">
        <v>683</v>
      </c>
      <c r="E26" s="24" t="s">
        <v>1403</v>
      </c>
      <c r="F26" s="23"/>
      <c r="G26" s="23"/>
      <c r="H26" s="25"/>
      <c r="I26" s="26" t="s">
        <v>432</v>
      </c>
      <c r="J26" s="26" t="s">
        <v>121</v>
      </c>
      <c r="K26" s="44">
        <v>46094.666666666664</v>
      </c>
      <c r="L26" s="44"/>
      <c r="M26" s="44"/>
      <c r="N26" s="134">
        <v>4.1666666666666664E-2</v>
      </c>
      <c r="O26" s="47">
        <v>2.7777777777777776E-2</v>
      </c>
      <c r="Q26" s="8"/>
      <c r="R26" s="7"/>
      <c r="S26" s="7"/>
      <c r="T26" s="7"/>
      <c r="U26" s="7"/>
      <c r="V26" s="8"/>
    </row>
    <row r="27" spans="1:22">
      <c r="B27" s="6"/>
      <c r="C27" s="6" t="s">
        <v>705</v>
      </c>
      <c r="D27" s="6" t="s">
        <v>714</v>
      </c>
      <c r="E27" s="29" t="s">
        <v>715</v>
      </c>
      <c r="F27" s="6" t="s">
        <v>716</v>
      </c>
      <c r="G27" s="6" t="s">
        <v>713</v>
      </c>
      <c r="H27" s="6" t="s">
        <v>688</v>
      </c>
      <c r="I27" s="6" t="s">
        <v>426</v>
      </c>
      <c r="J27" s="6" t="s">
        <v>199</v>
      </c>
      <c r="K27" s="46">
        <v>46097.375</v>
      </c>
      <c r="L27" s="46" t="s">
        <v>1237</v>
      </c>
      <c r="M27" s="46"/>
      <c r="N27" s="47">
        <v>2.7777777777777776E-2</v>
      </c>
      <c r="O27" s="50">
        <v>2.7777777777777776E-2</v>
      </c>
    </row>
    <row r="28" spans="1:22">
      <c r="B28" s="37"/>
      <c r="C28" s="37" t="s">
        <v>507</v>
      </c>
      <c r="D28" s="37" t="s">
        <v>529</v>
      </c>
      <c r="E28" s="38" t="s">
        <v>530</v>
      </c>
      <c r="F28" s="37" t="s">
        <v>527</v>
      </c>
      <c r="G28" s="37" t="s">
        <v>531</v>
      </c>
      <c r="H28" s="37" t="s">
        <v>493</v>
      </c>
      <c r="I28" s="37" t="s">
        <v>426</v>
      </c>
      <c r="J28" s="37" t="s">
        <v>145</v>
      </c>
      <c r="K28" s="49">
        <v>46097.583333333336</v>
      </c>
      <c r="L28" s="49" t="s">
        <v>1238</v>
      </c>
      <c r="M28" s="49"/>
      <c r="N28" s="50">
        <v>2.7777777777777776E-2</v>
      </c>
      <c r="O28" s="50">
        <v>2.7777777777777776E-2</v>
      </c>
    </row>
    <row r="29" spans="1:22">
      <c r="B29" s="37"/>
      <c r="C29" s="37" t="s">
        <v>507</v>
      </c>
      <c r="D29" s="37" t="s">
        <v>701</v>
      </c>
      <c r="E29" s="38" t="s">
        <v>702</v>
      </c>
      <c r="F29" s="37" t="s">
        <v>703</v>
      </c>
      <c r="G29" s="37" t="s">
        <v>704</v>
      </c>
      <c r="H29" s="37" t="s">
        <v>688</v>
      </c>
      <c r="I29" s="37" t="s">
        <v>426</v>
      </c>
      <c r="J29" s="37" t="s">
        <v>199</v>
      </c>
      <c r="K29" s="49">
        <v>46097.583333333336</v>
      </c>
      <c r="L29" s="49" t="s">
        <v>1239</v>
      </c>
      <c r="M29" s="49"/>
      <c r="N29" s="50">
        <v>2.7777777777777776E-2</v>
      </c>
      <c r="O29" s="112">
        <v>2.7777777777777776E-2</v>
      </c>
    </row>
    <row r="30" spans="1:22">
      <c r="B30" s="37"/>
      <c r="C30" s="37" t="s">
        <v>507</v>
      </c>
      <c r="D30" s="37" t="s">
        <v>520</v>
      </c>
      <c r="E30" s="38" t="s">
        <v>1240</v>
      </c>
      <c r="F30" s="37"/>
      <c r="G30" s="37" t="s">
        <v>1241</v>
      </c>
      <c r="H30" s="37"/>
      <c r="I30" s="37" t="s">
        <v>426</v>
      </c>
      <c r="J30" s="37" t="s">
        <v>145</v>
      </c>
      <c r="K30" s="49">
        <v>46097.625</v>
      </c>
      <c r="L30" s="49" t="s">
        <v>1242</v>
      </c>
      <c r="M30" s="49"/>
      <c r="N30" s="50">
        <v>2.7777777777777776E-2</v>
      </c>
      <c r="O30" s="112">
        <v>2.7777777777777776E-2</v>
      </c>
    </row>
    <row r="31" spans="1:22">
      <c r="B31" s="37"/>
      <c r="C31" s="37" t="s">
        <v>507</v>
      </c>
      <c r="D31" s="37" t="s">
        <v>697</v>
      </c>
      <c r="E31" s="38" t="s">
        <v>698</v>
      </c>
      <c r="F31" s="37" t="s">
        <v>699</v>
      </c>
      <c r="G31" s="37" t="s">
        <v>700</v>
      </c>
      <c r="H31" s="37" t="s">
        <v>688</v>
      </c>
      <c r="I31" s="37" t="s">
        <v>426</v>
      </c>
      <c r="J31" s="37" t="s">
        <v>199</v>
      </c>
      <c r="K31" s="49">
        <v>46097.666666666664</v>
      </c>
      <c r="L31" s="49" t="s">
        <v>1243</v>
      </c>
      <c r="M31" s="49"/>
      <c r="N31" s="50">
        <v>2.7777777777777776E-2</v>
      </c>
      <c r="O31" s="50">
        <v>2.7777777777777776E-2</v>
      </c>
    </row>
    <row r="32" spans="1:22">
      <c r="B32" s="37"/>
      <c r="C32" s="37" t="s">
        <v>507</v>
      </c>
      <c r="D32" s="37" t="s">
        <v>512</v>
      </c>
      <c r="E32" s="38" t="s">
        <v>513</v>
      </c>
      <c r="F32" s="37" t="s">
        <v>514</v>
      </c>
      <c r="G32" s="37" t="s">
        <v>515</v>
      </c>
      <c r="H32" s="37" t="s">
        <v>493</v>
      </c>
      <c r="I32" s="37" t="s">
        <v>426</v>
      </c>
      <c r="J32" s="37" t="s">
        <v>145</v>
      </c>
      <c r="K32" s="49">
        <v>46097.6875</v>
      </c>
      <c r="L32" s="49" t="s">
        <v>1244</v>
      </c>
      <c r="M32" s="49"/>
      <c r="N32" s="50">
        <v>2.7777777777777776E-2</v>
      </c>
      <c r="O32" s="109">
        <v>2.7777777777777776E-2</v>
      </c>
    </row>
    <row r="33" spans="2:15">
      <c r="B33" s="6"/>
      <c r="C33" s="6" t="s">
        <v>705</v>
      </c>
      <c r="D33" s="6" t="s">
        <v>710</v>
      </c>
      <c r="E33" s="29" t="s">
        <v>711</v>
      </c>
      <c r="F33" s="6" t="s">
        <v>712</v>
      </c>
      <c r="G33" s="6" t="s">
        <v>713</v>
      </c>
      <c r="H33" s="6" t="s">
        <v>688</v>
      </c>
      <c r="I33" s="6" t="s">
        <v>426</v>
      </c>
      <c r="J33" s="6" t="s">
        <v>199</v>
      </c>
      <c r="K33" s="46">
        <v>46098.395833333336</v>
      </c>
      <c r="L33" s="46" t="s">
        <v>1245</v>
      </c>
      <c r="M33" s="46"/>
      <c r="N33" s="47">
        <v>2.7777777777777776E-2</v>
      </c>
      <c r="O33" s="47">
        <v>2.7777777777777776E-2</v>
      </c>
    </row>
    <row r="34" spans="2:15">
      <c r="B34" s="6"/>
      <c r="C34" s="6" t="s">
        <v>433</v>
      </c>
      <c r="D34" s="6" t="s">
        <v>733</v>
      </c>
      <c r="E34" s="29" t="s">
        <v>734</v>
      </c>
      <c r="F34" s="6" t="s">
        <v>703</v>
      </c>
      <c r="G34" s="6" t="s">
        <v>735</v>
      </c>
      <c r="H34" s="6" t="s">
        <v>688</v>
      </c>
      <c r="I34" s="6" t="s">
        <v>426</v>
      </c>
      <c r="J34" s="6" t="s">
        <v>199</v>
      </c>
      <c r="K34" s="46">
        <v>46098.416666666664</v>
      </c>
      <c r="L34" s="46" t="s">
        <v>1246</v>
      </c>
      <c r="M34" s="46"/>
      <c r="N34" s="47">
        <v>2.7777777777777776E-2</v>
      </c>
      <c r="O34" s="47">
        <v>2.7777777777777776E-2</v>
      </c>
    </row>
    <row r="35" spans="2:15">
      <c r="B35" s="6"/>
      <c r="C35" s="6" t="s">
        <v>705</v>
      </c>
      <c r="D35" s="6" t="s">
        <v>717</v>
      </c>
      <c r="E35" s="29" t="s">
        <v>718</v>
      </c>
      <c r="F35" s="6" t="s">
        <v>719</v>
      </c>
      <c r="G35" s="6" t="s">
        <v>713</v>
      </c>
      <c r="H35" s="6" t="s">
        <v>688</v>
      </c>
      <c r="I35" s="6" t="s">
        <v>426</v>
      </c>
      <c r="J35" s="6" t="s">
        <v>199</v>
      </c>
      <c r="K35" s="46">
        <v>46098.458333333336</v>
      </c>
      <c r="L35" s="46" t="s">
        <v>1247</v>
      </c>
      <c r="M35" s="46"/>
      <c r="N35" s="47">
        <v>2.7777777777777776E-2</v>
      </c>
      <c r="O35" s="50">
        <v>2.7777777777777776E-2</v>
      </c>
    </row>
    <row r="36" spans="2:15">
      <c r="B36" s="37"/>
      <c r="C36" s="37" t="s">
        <v>507</v>
      </c>
      <c r="D36" s="37" t="s">
        <v>458</v>
      </c>
      <c r="E36" s="38" t="s">
        <v>459</v>
      </c>
      <c r="F36" s="37" t="s">
        <v>460</v>
      </c>
      <c r="G36" s="37" t="s">
        <v>461</v>
      </c>
      <c r="H36" s="37" t="s">
        <v>425</v>
      </c>
      <c r="I36" s="37" t="s">
        <v>432</v>
      </c>
      <c r="J36" s="37" t="s">
        <v>145</v>
      </c>
      <c r="K36" s="49">
        <v>46098.583333333336</v>
      </c>
      <c r="L36" s="37" t="s">
        <v>1250</v>
      </c>
      <c r="M36" s="37"/>
      <c r="N36" s="50">
        <v>2.7777777777777776E-2</v>
      </c>
      <c r="O36" s="45">
        <v>2.7777777777777776E-2</v>
      </c>
    </row>
    <row r="37" spans="2:15">
      <c r="B37" s="22"/>
      <c r="C37" s="22" t="s">
        <v>445</v>
      </c>
      <c r="D37" s="23" t="s">
        <v>766</v>
      </c>
      <c r="E37" s="24" t="s">
        <v>767</v>
      </c>
      <c r="F37" s="23" t="s">
        <v>768</v>
      </c>
      <c r="G37" s="23" t="s">
        <v>769</v>
      </c>
      <c r="H37" s="25" t="s">
        <v>688</v>
      </c>
      <c r="I37" s="26" t="s">
        <v>426</v>
      </c>
      <c r="J37" s="23" t="s">
        <v>199</v>
      </c>
      <c r="K37" s="44">
        <v>46098.583333333336</v>
      </c>
      <c r="L37" s="44" t="s">
        <v>1249</v>
      </c>
      <c r="M37" s="44">
        <v>46098</v>
      </c>
      <c r="N37" s="134">
        <v>2.7777777777777776E-2</v>
      </c>
      <c r="O37" s="47">
        <v>2.7777777777777776E-2</v>
      </c>
    </row>
    <row r="38" spans="2:15">
      <c r="B38" s="33"/>
      <c r="C38" s="33" t="s">
        <v>453</v>
      </c>
      <c r="D38" s="33" t="s">
        <v>521</v>
      </c>
      <c r="E38" s="34" t="s">
        <v>522</v>
      </c>
      <c r="F38" s="33" t="s">
        <v>523</v>
      </c>
      <c r="G38" s="33" t="s">
        <v>524</v>
      </c>
      <c r="H38" s="33" t="s">
        <v>493</v>
      </c>
      <c r="I38" s="33" t="s">
        <v>432</v>
      </c>
      <c r="J38" s="33" t="s">
        <v>145</v>
      </c>
      <c r="K38" s="56">
        <v>46098.666666666664</v>
      </c>
      <c r="L38" s="33" t="s">
        <v>1252</v>
      </c>
      <c r="M38" s="33"/>
      <c r="N38" s="52">
        <v>2.7777777777777776E-2</v>
      </c>
      <c r="O38" s="45">
        <v>2.7777777777777776E-2</v>
      </c>
    </row>
    <row r="39" spans="2:15">
      <c r="B39" s="37"/>
      <c r="C39" s="37" t="s">
        <v>507</v>
      </c>
      <c r="D39" s="37" t="s">
        <v>572</v>
      </c>
      <c r="E39" s="38" t="s">
        <v>573</v>
      </c>
      <c r="F39" s="37" t="s">
        <v>574</v>
      </c>
      <c r="G39" s="37" t="s">
        <v>575</v>
      </c>
      <c r="H39" s="37" t="s">
        <v>548</v>
      </c>
      <c r="I39" s="37" t="s">
        <v>426</v>
      </c>
      <c r="J39" s="37" t="s">
        <v>145</v>
      </c>
      <c r="K39" s="49">
        <v>46098.708333333336</v>
      </c>
      <c r="L39" s="37" t="s">
        <v>1253</v>
      </c>
      <c r="M39" s="37"/>
      <c r="N39" s="50">
        <v>2.7777777777777776E-2</v>
      </c>
      <c r="O39" s="52">
        <v>2.7777777777777776E-2</v>
      </c>
    </row>
    <row r="40" spans="2:15">
      <c r="B40" s="33"/>
      <c r="C40" s="33" t="s">
        <v>453</v>
      </c>
      <c r="D40" s="41" t="s">
        <v>565</v>
      </c>
      <c r="E40" s="34" t="s">
        <v>566</v>
      </c>
      <c r="F40" s="33" t="s">
        <v>563</v>
      </c>
      <c r="G40" s="33" t="s">
        <v>567</v>
      </c>
      <c r="H40" s="33" t="s">
        <v>548</v>
      </c>
      <c r="I40" s="33" t="s">
        <v>432</v>
      </c>
      <c r="J40" s="33" t="s">
        <v>145</v>
      </c>
      <c r="K40" s="115">
        <v>46098.708333333336</v>
      </c>
      <c r="L40" s="33" t="s">
        <v>1254</v>
      </c>
      <c r="M40" s="33"/>
      <c r="N40" s="132">
        <v>2.7777777777777776E-2</v>
      </c>
      <c r="O40" s="50">
        <v>2.7777777777777776E-2</v>
      </c>
    </row>
    <row r="41" spans="2:15">
      <c r="B41" s="33"/>
      <c r="C41" s="33" t="s">
        <v>453</v>
      </c>
      <c r="D41" s="41" t="s">
        <v>720</v>
      </c>
      <c r="E41" s="34" t="s">
        <v>721</v>
      </c>
      <c r="F41" s="33" t="s">
        <v>722</v>
      </c>
      <c r="G41" s="33" t="s">
        <v>645</v>
      </c>
      <c r="H41" s="33" t="s">
        <v>688</v>
      </c>
      <c r="I41" s="33" t="s">
        <v>426</v>
      </c>
      <c r="J41" s="33" t="s">
        <v>199</v>
      </c>
      <c r="K41" s="56">
        <v>46099.375</v>
      </c>
      <c r="L41" s="46" t="s">
        <v>1255</v>
      </c>
      <c r="M41" s="46"/>
      <c r="N41" s="132">
        <v>2.7777777777777776E-2</v>
      </c>
      <c r="O41" s="116">
        <v>2.7777777777777776E-2</v>
      </c>
    </row>
    <row r="42" spans="2:15">
      <c r="B42" s="37"/>
      <c r="C42" s="37" t="s">
        <v>507</v>
      </c>
      <c r="D42" s="37" t="s">
        <v>1404</v>
      </c>
      <c r="E42" s="38" t="s">
        <v>1257</v>
      </c>
      <c r="F42" s="37"/>
      <c r="G42" s="37" t="s">
        <v>1258</v>
      </c>
      <c r="H42" s="37"/>
      <c r="I42" s="53" t="s">
        <v>432</v>
      </c>
      <c r="J42" s="53" t="s">
        <v>121</v>
      </c>
      <c r="K42" s="49">
        <v>46099.541666666664</v>
      </c>
      <c r="L42" s="50" t="s">
        <v>1259</v>
      </c>
      <c r="M42" s="50"/>
      <c r="N42" s="50">
        <v>2.7777777777777776E-2</v>
      </c>
      <c r="O42" s="47">
        <v>2.7777777777777776E-2</v>
      </c>
    </row>
    <row r="43" spans="2:15">
      <c r="B43" s="37"/>
      <c r="C43" s="37" t="s">
        <v>507</v>
      </c>
      <c r="D43" s="37" t="s">
        <v>786</v>
      </c>
      <c r="E43" s="38" t="s">
        <v>779</v>
      </c>
      <c r="F43" s="37" t="s">
        <v>787</v>
      </c>
      <c r="G43" s="37" t="s">
        <v>788</v>
      </c>
      <c r="H43" s="37" t="s">
        <v>688</v>
      </c>
      <c r="I43" s="37" t="s">
        <v>432</v>
      </c>
      <c r="J43" s="37" t="s">
        <v>199</v>
      </c>
      <c r="K43" s="49">
        <v>46099.583333333336</v>
      </c>
      <c r="L43" s="49" t="s">
        <v>1260</v>
      </c>
      <c r="M43" s="49"/>
      <c r="N43" s="50">
        <v>2.7777777777777776E-2</v>
      </c>
      <c r="O43" s="50">
        <v>2.7777777777777776E-2</v>
      </c>
    </row>
    <row r="44" spans="2:15">
      <c r="B44" s="6"/>
      <c r="C44" s="6" t="s">
        <v>433</v>
      </c>
      <c r="D44" s="6" t="s">
        <v>516</v>
      </c>
      <c r="E44" s="29" t="s">
        <v>517</v>
      </c>
      <c r="F44" s="6" t="s">
        <v>518</v>
      </c>
      <c r="G44" s="6" t="s">
        <v>519</v>
      </c>
      <c r="H44" s="6" t="s">
        <v>493</v>
      </c>
      <c r="I44" s="6" t="s">
        <v>426</v>
      </c>
      <c r="J44" s="6" t="s">
        <v>145</v>
      </c>
      <c r="K44" s="46">
        <v>46099.625</v>
      </c>
      <c r="L44" s="117" t="s">
        <v>1261</v>
      </c>
      <c r="M44" s="117"/>
      <c r="N44" s="47">
        <v>2.7777777777777776E-2</v>
      </c>
      <c r="O44" s="50">
        <v>2.7777777777777776E-2</v>
      </c>
    </row>
    <row r="45" spans="2:15">
      <c r="B45" s="6"/>
      <c r="C45" s="6" t="s">
        <v>433</v>
      </c>
      <c r="D45" s="6" t="s">
        <v>793</v>
      </c>
      <c r="E45" s="29" t="s">
        <v>794</v>
      </c>
      <c r="F45" s="6" t="s">
        <v>795</v>
      </c>
      <c r="G45" s="6" t="s">
        <v>796</v>
      </c>
      <c r="H45" s="6" t="s">
        <v>688</v>
      </c>
      <c r="I45" s="6" t="s">
        <v>432</v>
      </c>
      <c r="J45" s="6" t="s">
        <v>199</v>
      </c>
      <c r="K45" s="46">
        <v>46099.666666666664</v>
      </c>
      <c r="L45" s="46" t="s">
        <v>1262</v>
      </c>
      <c r="M45" s="46"/>
      <c r="N45" s="47">
        <v>4.1666666666666664E-2</v>
      </c>
      <c r="O45" s="47">
        <v>2.7777777777777776E-2</v>
      </c>
    </row>
    <row r="46" spans="2:15">
      <c r="B46" s="37"/>
      <c r="C46" s="37" t="s">
        <v>507</v>
      </c>
      <c r="D46" s="37" t="s">
        <v>801</v>
      </c>
      <c r="E46" s="38" t="s">
        <v>802</v>
      </c>
      <c r="F46" s="37" t="s">
        <v>803</v>
      </c>
      <c r="G46" s="111" t="s">
        <v>804</v>
      </c>
      <c r="H46" s="37" t="s">
        <v>688</v>
      </c>
      <c r="I46" s="37" t="s">
        <v>426</v>
      </c>
      <c r="J46" s="37" t="s">
        <v>199</v>
      </c>
      <c r="K46" s="49">
        <v>46100.375</v>
      </c>
      <c r="L46" s="50"/>
      <c r="M46" s="112"/>
      <c r="N46" s="50">
        <v>4.1666666666666664E-2</v>
      </c>
      <c r="O46" s="50">
        <v>2.7777777777777776E-2</v>
      </c>
    </row>
    <row r="47" spans="2:15">
      <c r="B47" s="37"/>
      <c r="C47" s="37" t="s">
        <v>507</v>
      </c>
      <c r="D47" s="37" t="s">
        <v>736</v>
      </c>
      <c r="E47" s="38" t="s">
        <v>737</v>
      </c>
      <c r="F47" s="37" t="s">
        <v>738</v>
      </c>
      <c r="G47" s="111" t="s">
        <v>739</v>
      </c>
      <c r="H47" s="37" t="s">
        <v>688</v>
      </c>
      <c r="I47" s="37" t="s">
        <v>426</v>
      </c>
      <c r="J47" s="37" t="s">
        <v>199</v>
      </c>
      <c r="K47" s="49">
        <v>46100.458333333336</v>
      </c>
      <c r="L47" s="49"/>
      <c r="M47" s="135"/>
      <c r="N47" s="50">
        <v>2.7777777777777776E-2</v>
      </c>
      <c r="O47" s="47">
        <v>2.7777777777777776E-2</v>
      </c>
    </row>
    <row r="48" spans="2:15">
      <c r="B48" s="33"/>
      <c r="C48" s="33" t="s">
        <v>453</v>
      </c>
      <c r="D48" s="33" t="s">
        <v>454</v>
      </c>
      <c r="E48" s="34" t="s">
        <v>455</v>
      </c>
      <c r="F48" s="33" t="s">
        <v>456</v>
      </c>
      <c r="G48" s="33" t="s">
        <v>457</v>
      </c>
      <c r="H48" s="33" t="s">
        <v>425</v>
      </c>
      <c r="I48" s="33" t="s">
        <v>432</v>
      </c>
      <c r="J48" s="33" t="s">
        <v>145</v>
      </c>
      <c r="K48" s="56">
        <v>46100.583333333336</v>
      </c>
      <c r="L48" s="33" t="s">
        <v>1250</v>
      </c>
      <c r="M48" s="33"/>
      <c r="N48" s="52">
        <v>2.7777777777777776E-2</v>
      </c>
      <c r="O48" s="47">
        <v>2.7777777777777776E-2</v>
      </c>
    </row>
    <row r="49" spans="2:15">
      <c r="B49" s="22"/>
      <c r="C49" s="22" t="s">
        <v>445</v>
      </c>
      <c r="D49" s="23" t="s">
        <v>774</v>
      </c>
      <c r="E49" s="24" t="s">
        <v>775</v>
      </c>
      <c r="F49" s="23" t="s">
        <v>776</v>
      </c>
      <c r="G49" s="23" t="s">
        <v>777</v>
      </c>
      <c r="H49" s="25" t="s">
        <v>688</v>
      </c>
      <c r="I49" s="26" t="s">
        <v>426</v>
      </c>
      <c r="J49" s="23" t="s">
        <v>199</v>
      </c>
      <c r="K49" s="44">
        <v>46100.583333333336</v>
      </c>
      <c r="L49" s="44"/>
      <c r="M49" s="136"/>
      <c r="N49" s="134">
        <v>4.1666666666666664E-2</v>
      </c>
      <c r="O49" s="45">
        <v>2.7777777777777776E-2</v>
      </c>
    </row>
    <row r="50" spans="2:15">
      <c r="B50" s="37"/>
      <c r="C50" s="37" t="s">
        <v>507</v>
      </c>
      <c r="D50" s="37" t="s">
        <v>561</v>
      </c>
      <c r="E50" s="38" t="s">
        <v>562</v>
      </c>
      <c r="F50" s="37" t="s">
        <v>563</v>
      </c>
      <c r="G50" s="37" t="s">
        <v>564</v>
      </c>
      <c r="H50" s="37" t="s">
        <v>548</v>
      </c>
      <c r="I50" s="37" t="s">
        <v>426</v>
      </c>
      <c r="J50" s="37" t="s">
        <v>145</v>
      </c>
      <c r="K50" s="49">
        <v>46100.625</v>
      </c>
      <c r="L50" s="37" t="s">
        <v>1405</v>
      </c>
      <c r="M50" s="111"/>
      <c r="N50" s="50">
        <v>2.7777777777777776E-2</v>
      </c>
      <c r="O50" s="50">
        <v>2.7777777777777776E-2</v>
      </c>
    </row>
    <row r="51" spans="2:15">
      <c r="B51" s="110"/>
      <c r="C51" s="110" t="s">
        <v>507</v>
      </c>
      <c r="D51" s="110" t="s">
        <v>805</v>
      </c>
      <c r="E51" s="137" t="s">
        <v>806</v>
      </c>
      <c r="F51" s="110" t="s">
        <v>807</v>
      </c>
      <c r="G51" s="110" t="s">
        <v>808</v>
      </c>
      <c r="H51" s="110" t="s">
        <v>688</v>
      </c>
      <c r="I51" s="110" t="s">
        <v>426</v>
      </c>
      <c r="J51" s="110" t="s">
        <v>199</v>
      </c>
      <c r="K51" s="49">
        <v>46100.625</v>
      </c>
      <c r="L51" s="50"/>
      <c r="M51" s="50"/>
      <c r="N51" s="138">
        <v>4.1666666666666664E-2</v>
      </c>
      <c r="O51" s="52">
        <v>2.7777777777777776E-2</v>
      </c>
    </row>
    <row r="52" spans="2:15">
      <c r="B52" s="33"/>
      <c r="C52" s="33" t="s">
        <v>441</v>
      </c>
      <c r="D52" s="41" t="s">
        <v>568</v>
      </c>
      <c r="E52" s="34" t="s">
        <v>569</v>
      </c>
      <c r="F52" s="33" t="s">
        <v>570</v>
      </c>
      <c r="G52" s="33" t="s">
        <v>571</v>
      </c>
      <c r="H52" s="33" t="s">
        <v>548</v>
      </c>
      <c r="I52" s="33" t="s">
        <v>432</v>
      </c>
      <c r="J52" s="33" t="s">
        <v>145</v>
      </c>
      <c r="K52" s="115">
        <v>46100.666666666664</v>
      </c>
      <c r="L52" s="33" t="s">
        <v>1406</v>
      </c>
      <c r="M52" s="33"/>
      <c r="N52" s="132">
        <v>2.7777777777777776E-2</v>
      </c>
      <c r="O52" s="50">
        <v>2.7777777777777776E-2</v>
      </c>
    </row>
    <row r="53" spans="2:15">
      <c r="B53" s="33"/>
      <c r="C53" s="33" t="s">
        <v>453</v>
      </c>
      <c r="D53" s="41" t="s">
        <v>729</v>
      </c>
      <c r="E53" s="34" t="s">
        <v>730</v>
      </c>
      <c r="F53" s="33" t="s">
        <v>731</v>
      </c>
      <c r="G53" s="33" t="s">
        <v>732</v>
      </c>
      <c r="H53" s="33" t="s">
        <v>688</v>
      </c>
      <c r="I53" s="33" t="s">
        <v>426</v>
      </c>
      <c r="J53" s="33" t="s">
        <v>199</v>
      </c>
      <c r="K53" s="56">
        <v>46100.666666666664</v>
      </c>
      <c r="L53" s="56"/>
      <c r="M53" s="56"/>
      <c r="N53" s="132">
        <v>2.7777777777777776E-2</v>
      </c>
      <c r="O53" s="45">
        <v>2.7777777777777776E-2</v>
      </c>
    </row>
    <row r="54" spans="2:15">
      <c r="B54" s="33"/>
      <c r="C54" s="33" t="s">
        <v>453</v>
      </c>
      <c r="D54" s="41" t="s">
        <v>580</v>
      </c>
      <c r="E54" s="34" t="s">
        <v>581</v>
      </c>
      <c r="F54" s="33" t="s">
        <v>582</v>
      </c>
      <c r="G54" s="33" t="s">
        <v>583</v>
      </c>
      <c r="H54" s="33" t="s">
        <v>548</v>
      </c>
      <c r="I54" s="33" t="s">
        <v>426</v>
      </c>
      <c r="J54" s="33" t="s">
        <v>145</v>
      </c>
      <c r="K54" s="56">
        <v>46101.416666666664</v>
      </c>
      <c r="L54" s="33" t="s">
        <v>1250</v>
      </c>
      <c r="M54" s="33"/>
      <c r="N54" s="132"/>
      <c r="O54" s="45">
        <v>2.7777777777777776E-2</v>
      </c>
    </row>
    <row r="55" spans="2:15">
      <c r="B55" s="6"/>
      <c r="C55" s="6" t="s">
        <v>433</v>
      </c>
      <c r="D55" s="6" t="s">
        <v>693</v>
      </c>
      <c r="E55" s="29" t="s">
        <v>694</v>
      </c>
      <c r="F55" s="6" t="s">
        <v>695</v>
      </c>
      <c r="G55" s="6" t="s">
        <v>696</v>
      </c>
      <c r="H55" s="6" t="s">
        <v>688</v>
      </c>
      <c r="I55" s="6" t="s">
        <v>432</v>
      </c>
      <c r="J55" s="6" t="s">
        <v>199</v>
      </c>
      <c r="K55" s="46">
        <v>46101.458333333336</v>
      </c>
      <c r="L55" s="46" t="s">
        <v>1264</v>
      </c>
      <c r="M55" s="46"/>
      <c r="N55" s="47">
        <v>2.7777777777777776E-2</v>
      </c>
      <c r="O55" s="52">
        <v>2.7777777777777776E-2</v>
      </c>
    </row>
    <row r="56" spans="2:15">
      <c r="B56" s="37"/>
      <c r="C56" s="37" t="s">
        <v>507</v>
      </c>
      <c r="D56" s="37" t="s">
        <v>508</v>
      </c>
      <c r="E56" s="38" t="s">
        <v>509</v>
      </c>
      <c r="F56" s="37" t="s">
        <v>510</v>
      </c>
      <c r="G56" s="37" t="s">
        <v>511</v>
      </c>
      <c r="H56" s="37" t="s">
        <v>493</v>
      </c>
      <c r="I56" s="37" t="s">
        <v>426</v>
      </c>
      <c r="J56" s="37" t="s">
        <v>145</v>
      </c>
      <c r="K56" s="49">
        <v>46101.583333333336</v>
      </c>
      <c r="L56" s="49" t="s">
        <v>1407</v>
      </c>
      <c r="M56" s="49"/>
      <c r="N56" s="50">
        <v>2.7777777777777776E-2</v>
      </c>
      <c r="O56" s="52">
        <v>2.7777777777777776E-2</v>
      </c>
    </row>
    <row r="57" spans="2:15">
      <c r="B57" s="37"/>
      <c r="C57" s="37" t="s">
        <v>507</v>
      </c>
      <c r="D57" s="37" t="s">
        <v>754</v>
      </c>
      <c r="E57" s="38" t="s">
        <v>755</v>
      </c>
      <c r="F57" s="37" t="s">
        <v>756</v>
      </c>
      <c r="G57" s="37" t="s">
        <v>757</v>
      </c>
      <c r="H57" s="37" t="s">
        <v>688</v>
      </c>
      <c r="I57" s="37" t="s">
        <v>426</v>
      </c>
      <c r="J57" s="37" t="s">
        <v>199</v>
      </c>
      <c r="K57" s="49">
        <v>46101.583333333336</v>
      </c>
      <c r="L57" s="49" t="s">
        <v>1408</v>
      </c>
      <c r="M57" s="49"/>
      <c r="N57" s="50">
        <v>2.7777777777777776E-2</v>
      </c>
      <c r="O57" s="52">
        <v>2.7777777777777776E-2</v>
      </c>
    </row>
    <row r="58" spans="2:15" ht="14.4">
      <c r="B58" s="37"/>
      <c r="C58" s="37" t="s">
        <v>507</v>
      </c>
      <c r="D58" s="37" t="s">
        <v>675</v>
      </c>
      <c r="E58" s="48" t="s">
        <v>676</v>
      </c>
      <c r="F58" s="37" t="s">
        <v>677</v>
      </c>
      <c r="G58" s="37" t="s">
        <v>678</v>
      </c>
      <c r="H58" s="37" t="s">
        <v>627</v>
      </c>
      <c r="I58" s="37" t="s">
        <v>432</v>
      </c>
      <c r="J58" s="37" t="s">
        <v>121</v>
      </c>
      <c r="K58" s="49">
        <v>46101.666666666664</v>
      </c>
      <c r="L58" s="49" t="s">
        <v>1248</v>
      </c>
      <c r="M58" s="49"/>
      <c r="N58" s="50">
        <v>2.7777777777777776E-2</v>
      </c>
      <c r="O58" s="47">
        <v>2.7777777777777776E-2</v>
      </c>
    </row>
    <row r="59" spans="2:15">
      <c r="B59" s="37"/>
      <c r="C59" s="37" t="s">
        <v>507</v>
      </c>
      <c r="D59" s="37" t="s">
        <v>1265</v>
      </c>
      <c r="E59" s="38" t="s">
        <v>1266</v>
      </c>
      <c r="F59" s="37" t="s">
        <v>1409</v>
      </c>
      <c r="G59" s="37" t="s">
        <v>1267</v>
      </c>
      <c r="H59" s="37" t="s">
        <v>426</v>
      </c>
      <c r="I59" s="37" t="s">
        <v>426</v>
      </c>
      <c r="J59" s="37" t="s">
        <v>199</v>
      </c>
      <c r="K59" s="49">
        <v>46105.625</v>
      </c>
      <c r="L59" s="49" t="s">
        <v>1410</v>
      </c>
      <c r="M59" s="49"/>
      <c r="N59" s="50">
        <v>2.7777777777777776E-2</v>
      </c>
      <c r="O59" s="50">
        <v>2.7777777777777776E-2</v>
      </c>
    </row>
    <row r="60" spans="2:15">
      <c r="B60" s="6"/>
      <c r="C60" s="6" t="s">
        <v>433</v>
      </c>
      <c r="D60" s="6" t="s">
        <v>438</v>
      </c>
      <c r="E60" s="29" t="s">
        <v>439</v>
      </c>
      <c r="F60" s="6" t="s">
        <v>430</v>
      </c>
      <c r="G60" s="6" t="s">
        <v>440</v>
      </c>
      <c r="H60" s="6" t="s">
        <v>425</v>
      </c>
      <c r="I60" s="6" t="s">
        <v>426</v>
      </c>
      <c r="J60" s="6" t="s">
        <v>145</v>
      </c>
      <c r="K60" s="46">
        <v>46106.604166666664</v>
      </c>
      <c r="L60" s="6" t="s">
        <v>1411</v>
      </c>
      <c r="M60" s="6"/>
      <c r="N60" s="47">
        <v>4.1666666666666664E-2</v>
      </c>
      <c r="O60" s="50">
        <v>2.7777777777777776E-2</v>
      </c>
    </row>
    <row r="61" spans="2:15">
      <c r="B61" s="33"/>
      <c r="C61" s="33" t="s">
        <v>441</v>
      </c>
      <c r="D61" s="33" t="s">
        <v>442</v>
      </c>
      <c r="E61" s="34" t="s">
        <v>443</v>
      </c>
      <c r="F61" s="33" t="s">
        <v>430</v>
      </c>
      <c r="G61" s="33" t="s">
        <v>444</v>
      </c>
      <c r="H61" s="33" t="s">
        <v>425</v>
      </c>
      <c r="I61" s="33" t="s">
        <v>426</v>
      </c>
      <c r="J61" s="33" t="s">
        <v>145</v>
      </c>
      <c r="K61" s="56">
        <v>46106.645833333336</v>
      </c>
      <c r="L61" s="33" t="s">
        <v>1411</v>
      </c>
      <c r="M61" s="33"/>
      <c r="N61" s="139">
        <v>4.1666666666666664E-2</v>
      </c>
      <c r="O61" s="50">
        <v>2.7777777777777776E-2</v>
      </c>
    </row>
    <row r="62" spans="2:15" ht="14.4">
      <c r="B62" s="37"/>
      <c r="C62" s="37" t="s">
        <v>507</v>
      </c>
      <c r="D62" s="37" t="s">
        <v>751</v>
      </c>
      <c r="E62" s="48" t="s">
        <v>752</v>
      </c>
      <c r="F62" s="37" t="s">
        <v>753</v>
      </c>
      <c r="G62" s="37" t="s">
        <v>739</v>
      </c>
      <c r="H62" s="37" t="s">
        <v>688</v>
      </c>
      <c r="I62" s="37" t="s">
        <v>426</v>
      </c>
      <c r="J62" s="37" t="s">
        <v>199</v>
      </c>
      <c r="K62" s="49">
        <v>46106.666666666664</v>
      </c>
      <c r="L62" s="49" t="s">
        <v>1412</v>
      </c>
      <c r="M62" s="49"/>
      <c r="N62" s="50">
        <v>2.7777777777777776E-2</v>
      </c>
      <c r="O62" s="50">
        <v>2.7777777777777776E-2</v>
      </c>
    </row>
    <row r="63" spans="2:15">
      <c r="B63" s="22"/>
      <c r="C63" s="22" t="s">
        <v>427</v>
      </c>
      <c r="D63" s="25" t="s">
        <v>428</v>
      </c>
      <c r="E63" s="24" t="s">
        <v>429</v>
      </c>
      <c r="F63" s="25" t="s">
        <v>430</v>
      </c>
      <c r="G63" s="25" t="s">
        <v>431</v>
      </c>
      <c r="H63" s="25" t="s">
        <v>425</v>
      </c>
      <c r="I63" s="26" t="s">
        <v>426</v>
      </c>
      <c r="J63" s="26" t="s">
        <v>145</v>
      </c>
      <c r="K63" s="44">
        <v>46107.458333333336</v>
      </c>
      <c r="L63" s="27"/>
      <c r="M63" s="27"/>
      <c r="N63" s="140">
        <v>4.1666666666666664E-2</v>
      </c>
      <c r="O63" s="52">
        <v>2.7777777777777776E-2</v>
      </c>
    </row>
    <row r="64" spans="2:15" ht="14.4">
      <c r="B64" s="6"/>
      <c r="C64" s="6" t="s">
        <v>433</v>
      </c>
      <c r="D64" s="6" t="s">
        <v>434</v>
      </c>
      <c r="E64" s="54" t="s">
        <v>435</v>
      </c>
      <c r="F64" s="6" t="s">
        <v>430</v>
      </c>
      <c r="G64" s="6" t="s">
        <v>436</v>
      </c>
      <c r="H64" s="6" t="s">
        <v>425</v>
      </c>
      <c r="I64" s="6" t="s">
        <v>426</v>
      </c>
      <c r="J64" s="6" t="s">
        <v>145</v>
      </c>
      <c r="K64" s="46">
        <v>46107.5</v>
      </c>
      <c r="L64" s="6" t="s">
        <v>1411</v>
      </c>
      <c r="M64" s="6"/>
      <c r="N64" s="47">
        <v>4.1666666666666664E-2</v>
      </c>
      <c r="O64" s="14"/>
    </row>
    <row r="65" spans="1:21">
      <c r="B65" s="14"/>
      <c r="C65" s="14" t="s">
        <v>420</v>
      </c>
      <c r="D65" s="15" t="s">
        <v>489</v>
      </c>
      <c r="E65" s="16" t="s">
        <v>490</v>
      </c>
      <c r="F65" s="15" t="s">
        <v>491</v>
      </c>
      <c r="G65" s="15" t="s">
        <v>492</v>
      </c>
      <c r="H65" s="15" t="s">
        <v>493</v>
      </c>
      <c r="I65" s="14" t="s">
        <v>426</v>
      </c>
      <c r="J65" s="14" t="s">
        <v>145</v>
      </c>
      <c r="K65" s="141">
        <v>46107.583333333336</v>
      </c>
      <c r="L65" s="17" t="s">
        <v>1411</v>
      </c>
      <c r="M65" s="17"/>
      <c r="N65" s="142">
        <v>4.1666666666666664E-2</v>
      </c>
      <c r="O65" s="22"/>
    </row>
    <row r="66" spans="1:21" ht="14.4">
      <c r="B66" s="6"/>
      <c r="C66" s="6" t="s">
        <v>433</v>
      </c>
      <c r="D66" s="6" t="s">
        <v>584</v>
      </c>
      <c r="E66" s="54" t="s">
        <v>585</v>
      </c>
      <c r="F66" s="6" t="s">
        <v>586</v>
      </c>
      <c r="G66" s="6" t="s">
        <v>587</v>
      </c>
      <c r="H66" s="6" t="s">
        <v>548</v>
      </c>
      <c r="I66" s="6" t="s">
        <v>432</v>
      </c>
      <c r="J66" s="6" t="s">
        <v>145</v>
      </c>
      <c r="K66" s="46">
        <v>46108.458333333336</v>
      </c>
      <c r="L66" s="6" t="s">
        <v>1413</v>
      </c>
      <c r="M66" s="6"/>
      <c r="N66" s="47">
        <v>2.7777777777777776E-2</v>
      </c>
      <c r="O66" s="6"/>
    </row>
    <row r="67" spans="1:21">
      <c r="B67" s="6"/>
      <c r="C67" s="6" t="s">
        <v>433</v>
      </c>
      <c r="D67" s="6" t="s">
        <v>472</v>
      </c>
      <c r="E67" s="29" t="s">
        <v>473</v>
      </c>
      <c r="F67" s="6" t="s">
        <v>470</v>
      </c>
      <c r="G67" s="6" t="s">
        <v>474</v>
      </c>
      <c r="H67" s="6" t="s">
        <v>425</v>
      </c>
      <c r="I67" s="6" t="s">
        <v>437</v>
      </c>
      <c r="J67" s="6" t="s">
        <v>145</v>
      </c>
      <c r="K67" s="46">
        <v>46111.583333333336</v>
      </c>
      <c r="L67" s="6" t="s">
        <v>1414</v>
      </c>
      <c r="M67" s="6"/>
      <c r="N67" s="47">
        <v>2.7777777777777776E-2</v>
      </c>
      <c r="O67" s="6"/>
    </row>
    <row r="68" spans="1:21">
      <c r="B68" s="33"/>
      <c r="C68" s="33" t="s">
        <v>453</v>
      </c>
      <c r="D68" s="33" t="s">
        <v>532</v>
      </c>
      <c r="E68" s="34" t="s">
        <v>533</v>
      </c>
      <c r="F68" s="33" t="s">
        <v>505</v>
      </c>
      <c r="G68" s="33" t="s">
        <v>534</v>
      </c>
      <c r="H68" s="33" t="s">
        <v>493</v>
      </c>
      <c r="I68" s="33" t="s">
        <v>426</v>
      </c>
      <c r="J68" s="33" t="s">
        <v>145</v>
      </c>
      <c r="K68" s="56">
        <v>46111.583333333336</v>
      </c>
      <c r="L68" s="33" t="s">
        <v>1415</v>
      </c>
      <c r="M68" s="33"/>
      <c r="N68" s="52">
        <v>2.7777777777777776E-2</v>
      </c>
      <c r="O68" s="33"/>
    </row>
    <row r="69" spans="1:21">
      <c r="B69" s="22"/>
      <c r="C69" s="22" t="s">
        <v>445</v>
      </c>
      <c r="D69" s="23" t="s">
        <v>468</v>
      </c>
      <c r="E69" s="24" t="s">
        <v>469</v>
      </c>
      <c r="F69" s="23" t="s">
        <v>470</v>
      </c>
      <c r="G69" s="23" t="s">
        <v>471</v>
      </c>
      <c r="H69" s="25" t="s">
        <v>425</v>
      </c>
      <c r="I69" s="26" t="s">
        <v>426</v>
      </c>
      <c r="J69" s="26" t="s">
        <v>145</v>
      </c>
      <c r="K69" s="44">
        <v>46112.583333333336</v>
      </c>
      <c r="L69" s="27" t="s">
        <v>1263</v>
      </c>
      <c r="M69" s="27"/>
      <c r="N69" s="134">
        <v>2.7777777777777776E-2</v>
      </c>
      <c r="O69" s="22"/>
    </row>
    <row r="70" spans="1:21" hidden="1">
      <c r="B70" s="6"/>
      <c r="C70" s="6" t="s">
        <v>433</v>
      </c>
      <c r="D70" s="6" t="s">
        <v>553</v>
      </c>
      <c r="E70" s="29" t="s">
        <v>554</v>
      </c>
      <c r="F70" s="6" t="s">
        <v>555</v>
      </c>
      <c r="G70" s="6" t="s">
        <v>556</v>
      </c>
      <c r="H70" s="6" t="s">
        <v>548</v>
      </c>
      <c r="I70" s="6" t="s">
        <v>432</v>
      </c>
      <c r="J70" s="6" t="s">
        <v>145</v>
      </c>
      <c r="K70" s="46">
        <v>46113.583333333336</v>
      </c>
      <c r="L70" s="6" t="s">
        <v>1413</v>
      </c>
      <c r="M70" s="6"/>
      <c r="N70" s="47">
        <v>2.7777777777777776E-2</v>
      </c>
      <c r="O70" s="6"/>
    </row>
    <row r="71" spans="1:21" hidden="1">
      <c r="B71" s="22"/>
      <c r="C71" s="22" t="s">
        <v>445</v>
      </c>
      <c r="D71" s="23" t="s">
        <v>525</v>
      </c>
      <c r="E71" s="24" t="s">
        <v>526</v>
      </c>
      <c r="F71" s="23" t="s">
        <v>527</v>
      </c>
      <c r="G71" s="23" t="s">
        <v>528</v>
      </c>
      <c r="H71" s="25" t="s">
        <v>493</v>
      </c>
      <c r="I71" s="26" t="s">
        <v>432</v>
      </c>
      <c r="J71" s="26" t="s">
        <v>145</v>
      </c>
      <c r="K71" s="44">
        <v>46113.583333333336</v>
      </c>
      <c r="L71" s="27" t="s">
        <v>1416</v>
      </c>
      <c r="M71" s="27"/>
      <c r="N71" s="134">
        <v>2.7777777777777776E-2</v>
      </c>
      <c r="O71" s="22"/>
    </row>
    <row r="72" spans="1:21" hidden="1">
      <c r="B72" s="22"/>
      <c r="C72" s="22" t="s">
        <v>445</v>
      </c>
      <c r="D72" s="23" t="s">
        <v>446</v>
      </c>
      <c r="E72" s="24" t="s">
        <v>447</v>
      </c>
      <c r="F72" s="23" t="s">
        <v>448</v>
      </c>
      <c r="G72" s="23" t="s">
        <v>449</v>
      </c>
      <c r="H72" s="25" t="s">
        <v>425</v>
      </c>
      <c r="I72" s="26" t="s">
        <v>426</v>
      </c>
      <c r="J72" s="26" t="s">
        <v>145</v>
      </c>
      <c r="K72" s="44">
        <v>46114.416666666664</v>
      </c>
      <c r="L72" s="27" t="s">
        <v>1416</v>
      </c>
      <c r="M72" s="27"/>
      <c r="N72" s="134">
        <v>2.7777777777777776E-2</v>
      </c>
      <c r="O72" s="6"/>
    </row>
    <row r="73" spans="1:21" hidden="1">
      <c r="B73" s="22"/>
      <c r="C73" s="22" t="s">
        <v>445</v>
      </c>
      <c r="D73" s="23" t="s">
        <v>535</v>
      </c>
      <c r="E73" s="24" t="s">
        <v>536</v>
      </c>
      <c r="F73" s="23" t="s">
        <v>537</v>
      </c>
      <c r="G73" s="23" t="s">
        <v>538</v>
      </c>
      <c r="H73" s="25" t="s">
        <v>493</v>
      </c>
      <c r="I73" s="26" t="s">
        <v>426</v>
      </c>
      <c r="J73" s="26" t="s">
        <v>145</v>
      </c>
      <c r="K73" s="44">
        <v>46114.666666666664</v>
      </c>
      <c r="L73" s="27" t="s">
        <v>1416</v>
      </c>
      <c r="M73" s="27"/>
      <c r="N73" s="134">
        <v>2.7777777777777776E-2</v>
      </c>
      <c r="O73" s="33"/>
    </row>
    <row r="74" spans="1:21" hidden="1">
      <c r="B74" s="42"/>
      <c r="C74" s="42" t="s">
        <v>684</v>
      </c>
      <c r="D74" s="42" t="s">
        <v>685</v>
      </c>
      <c r="E74" s="16" t="s">
        <v>686</v>
      </c>
      <c r="F74" s="42" t="s">
        <v>199</v>
      </c>
      <c r="G74" s="42" t="s">
        <v>687</v>
      </c>
      <c r="H74" s="42" t="s">
        <v>688</v>
      </c>
      <c r="I74" s="42" t="s">
        <v>426</v>
      </c>
      <c r="J74" s="42" t="s">
        <v>199</v>
      </c>
      <c r="K74" s="143">
        <v>46121.666666666664</v>
      </c>
      <c r="L74" s="14" t="s">
        <v>1416</v>
      </c>
      <c r="M74" s="42"/>
      <c r="N74" s="144">
        <v>4.1666666666666664E-2</v>
      </c>
      <c r="O74" s="22"/>
    </row>
    <row r="75" spans="1:21">
      <c r="B75" s="6"/>
      <c r="C75" s="6" t="s">
        <v>433</v>
      </c>
      <c r="D75" s="6" t="s">
        <v>646</v>
      </c>
      <c r="E75" s="29" t="s">
        <v>647</v>
      </c>
      <c r="F75" s="6" t="s">
        <v>644</v>
      </c>
      <c r="G75" s="6" t="s">
        <v>648</v>
      </c>
      <c r="H75" s="6" t="s">
        <v>627</v>
      </c>
      <c r="I75" s="6" t="s">
        <v>437</v>
      </c>
      <c r="J75" s="6" t="s">
        <v>121</v>
      </c>
      <c r="K75" s="46" t="s">
        <v>649</v>
      </c>
      <c r="L75" s="46"/>
      <c r="M75" s="46"/>
      <c r="N75" s="47"/>
      <c r="O75" s="22"/>
    </row>
    <row r="76" spans="1:21">
      <c r="B76" s="14"/>
      <c r="C76" s="14" t="s">
        <v>420</v>
      </c>
      <c r="D76" s="15" t="s">
        <v>421</v>
      </c>
      <c r="E76" s="16" t="s">
        <v>422</v>
      </c>
      <c r="F76" s="15" t="s">
        <v>423</v>
      </c>
      <c r="G76" s="15" t="s">
        <v>424</v>
      </c>
      <c r="H76" s="15" t="s">
        <v>425</v>
      </c>
      <c r="I76" s="14" t="s">
        <v>426</v>
      </c>
      <c r="J76" s="14" t="s">
        <v>145</v>
      </c>
      <c r="K76" s="17"/>
      <c r="L76" s="17"/>
      <c r="M76" s="17"/>
      <c r="N76" s="142"/>
      <c r="O76" s="14"/>
    </row>
    <row r="77" spans="1:21">
      <c r="B77" s="6"/>
      <c r="C77" s="6" t="s">
        <v>433</v>
      </c>
      <c r="D77" s="6" t="s">
        <v>464</v>
      </c>
      <c r="E77" s="29" t="s">
        <v>465</v>
      </c>
      <c r="F77" s="6" t="s">
        <v>466</v>
      </c>
      <c r="G77" s="6" t="s">
        <v>467</v>
      </c>
      <c r="H77" s="6" t="s">
        <v>425</v>
      </c>
      <c r="I77" s="6" t="s">
        <v>437</v>
      </c>
      <c r="J77" s="6" t="s">
        <v>145</v>
      </c>
      <c r="K77" s="6"/>
      <c r="L77" s="6"/>
      <c r="M77" s="6"/>
      <c r="N77" s="47"/>
      <c r="O77" s="118"/>
    </row>
    <row r="78" spans="1:21" s="59" customFormat="1">
      <c r="A78" s="57"/>
      <c r="B78" s="6"/>
      <c r="C78" s="6" t="s">
        <v>433</v>
      </c>
      <c r="D78" s="6" t="s">
        <v>1417</v>
      </c>
      <c r="E78" s="29" t="s">
        <v>1418</v>
      </c>
      <c r="F78" s="6"/>
      <c r="G78" s="6" t="s">
        <v>1419</v>
      </c>
      <c r="H78" s="33" t="s">
        <v>425</v>
      </c>
      <c r="I78" s="6" t="s">
        <v>437</v>
      </c>
      <c r="J78" s="6" t="s">
        <v>145</v>
      </c>
      <c r="K78" s="46"/>
      <c r="L78" s="6"/>
      <c r="M78" s="6"/>
      <c r="N78" s="47"/>
      <c r="O78" s="6"/>
      <c r="R78" s="57"/>
      <c r="S78" s="57"/>
      <c r="T78" s="57"/>
      <c r="U78" s="57"/>
    </row>
    <row r="79" spans="1:21" s="59" customFormat="1">
      <c r="A79" s="57"/>
      <c r="B79" s="22"/>
      <c r="C79" s="22" t="s">
        <v>445</v>
      </c>
      <c r="D79" s="23" t="s">
        <v>549</v>
      </c>
      <c r="E79" s="24" t="s">
        <v>550</v>
      </c>
      <c r="F79" s="23" t="s">
        <v>551</v>
      </c>
      <c r="G79" s="23" t="s">
        <v>552</v>
      </c>
      <c r="H79" s="25" t="s">
        <v>548</v>
      </c>
      <c r="I79" s="26" t="s">
        <v>426</v>
      </c>
      <c r="J79" s="25" t="s">
        <v>145</v>
      </c>
      <c r="K79" s="27"/>
      <c r="L79" s="27"/>
      <c r="M79" s="27"/>
      <c r="N79" s="134"/>
      <c r="O79" s="6"/>
      <c r="R79" s="57"/>
      <c r="S79" s="57"/>
      <c r="T79" s="57"/>
      <c r="U79" s="57"/>
    </row>
    <row r="80" spans="1:21">
      <c r="B80" s="6"/>
      <c r="C80" s="6" t="s">
        <v>433</v>
      </c>
      <c r="D80" s="6" t="s">
        <v>576</v>
      </c>
      <c r="E80" s="29" t="s">
        <v>577</v>
      </c>
      <c r="F80" s="6" t="s">
        <v>578</v>
      </c>
      <c r="G80" s="6" t="s">
        <v>579</v>
      </c>
      <c r="H80" s="6" t="s">
        <v>548</v>
      </c>
      <c r="I80" s="6" t="s">
        <v>437</v>
      </c>
      <c r="J80" s="6" t="s">
        <v>145</v>
      </c>
      <c r="K80" s="6"/>
      <c r="L80" s="6"/>
      <c r="M80" s="6"/>
      <c r="N80" s="47"/>
      <c r="O80" s="22"/>
    </row>
    <row r="81" spans="2:15">
      <c r="B81" s="14"/>
      <c r="C81" s="14" t="s">
        <v>420</v>
      </c>
      <c r="D81" s="15" t="s">
        <v>544</v>
      </c>
      <c r="E81" s="16" t="s">
        <v>545</v>
      </c>
      <c r="F81" s="15" t="s">
        <v>546</v>
      </c>
      <c r="G81" s="15" t="s">
        <v>547</v>
      </c>
      <c r="H81" s="15" t="s">
        <v>548</v>
      </c>
      <c r="I81" s="14" t="s">
        <v>437</v>
      </c>
      <c r="J81" s="14" t="s">
        <v>145</v>
      </c>
      <c r="K81" s="17"/>
      <c r="L81" s="17"/>
      <c r="M81" s="17"/>
      <c r="N81" s="142"/>
      <c r="O81" s="22"/>
    </row>
    <row r="82" spans="2:15">
      <c r="B82" s="22"/>
      <c r="C82" s="22" t="s">
        <v>445</v>
      </c>
      <c r="D82" s="23" t="s">
        <v>478</v>
      </c>
      <c r="E82" s="24" t="s">
        <v>479</v>
      </c>
      <c r="F82" s="23" t="s">
        <v>480</v>
      </c>
      <c r="G82" s="23" t="s">
        <v>481</v>
      </c>
      <c r="H82" s="25" t="s">
        <v>425</v>
      </c>
      <c r="I82" s="26" t="s">
        <v>437</v>
      </c>
      <c r="J82" s="26" t="s">
        <v>145</v>
      </c>
      <c r="K82" s="27"/>
      <c r="L82" s="27"/>
      <c r="M82" s="27"/>
      <c r="N82" s="134"/>
      <c r="O82" s="22"/>
    </row>
    <row r="83" spans="2:15">
      <c r="B83" s="22"/>
      <c r="C83" s="22" t="s">
        <v>445</v>
      </c>
      <c r="D83" s="23" t="s">
        <v>482</v>
      </c>
      <c r="E83" s="24" t="s">
        <v>483</v>
      </c>
      <c r="F83" s="23" t="s">
        <v>484</v>
      </c>
      <c r="G83" s="23" t="s">
        <v>485</v>
      </c>
      <c r="H83" s="25" t="s">
        <v>425</v>
      </c>
      <c r="I83" s="26" t="s">
        <v>437</v>
      </c>
      <c r="J83" s="26" t="s">
        <v>145</v>
      </c>
      <c r="K83" s="27"/>
      <c r="L83" s="27"/>
      <c r="M83" s="27"/>
      <c r="N83" s="134"/>
      <c r="O83" s="6"/>
    </row>
    <row r="84" spans="2:15">
      <c r="B84" s="33"/>
      <c r="C84" s="33" t="s">
        <v>453</v>
      </c>
      <c r="D84" s="33" t="s">
        <v>475</v>
      </c>
      <c r="E84" s="34" t="s">
        <v>476</v>
      </c>
      <c r="F84" s="33" t="s">
        <v>470</v>
      </c>
      <c r="G84" s="33" t="s">
        <v>477</v>
      </c>
      <c r="H84" s="33" t="s">
        <v>425</v>
      </c>
      <c r="I84" s="33" t="s">
        <v>437</v>
      </c>
      <c r="J84" s="33" t="s">
        <v>145</v>
      </c>
      <c r="K84" s="33"/>
      <c r="L84" s="33"/>
      <c r="M84" s="33"/>
      <c r="N84" s="52"/>
      <c r="O84" s="14"/>
    </row>
    <row r="85" spans="2:15">
      <c r="B85" s="37"/>
      <c r="C85" s="37" t="s">
        <v>507</v>
      </c>
      <c r="D85" s="37" t="s">
        <v>557</v>
      </c>
      <c r="E85" s="38" t="s">
        <v>558</v>
      </c>
      <c r="F85" s="37" t="s">
        <v>559</v>
      </c>
      <c r="G85" s="37" t="s">
        <v>560</v>
      </c>
      <c r="H85" s="37" t="s">
        <v>548</v>
      </c>
      <c r="I85" s="37" t="s">
        <v>437</v>
      </c>
      <c r="J85" s="37" t="s">
        <v>145</v>
      </c>
      <c r="K85" s="37"/>
      <c r="L85" s="37"/>
      <c r="M85" s="37"/>
      <c r="N85" s="50"/>
      <c r="O85" s="22"/>
    </row>
    <row r="86" spans="2:15">
      <c r="B86" s="42"/>
      <c r="C86" s="42" t="s">
        <v>420</v>
      </c>
      <c r="D86" s="42" t="s">
        <v>599</v>
      </c>
      <c r="E86" s="16" t="s">
        <v>600</v>
      </c>
      <c r="F86" s="42" t="s">
        <v>601</v>
      </c>
      <c r="G86" s="42" t="s">
        <v>602</v>
      </c>
      <c r="H86" s="42" t="s">
        <v>603</v>
      </c>
      <c r="I86" s="42" t="s">
        <v>437</v>
      </c>
      <c r="J86" s="42" t="s">
        <v>145</v>
      </c>
      <c r="K86" s="42"/>
      <c r="L86" s="42"/>
      <c r="M86" s="42"/>
      <c r="N86" s="144"/>
      <c r="O86" s="37"/>
    </row>
    <row r="87" spans="2:15">
      <c r="B87" s="37"/>
      <c r="C87" s="37" t="s">
        <v>507</v>
      </c>
      <c r="D87" s="37" t="s">
        <v>608</v>
      </c>
      <c r="E87" s="38" t="s">
        <v>609</v>
      </c>
      <c r="F87" s="37" t="s">
        <v>610</v>
      </c>
      <c r="G87" s="37" t="s">
        <v>611</v>
      </c>
      <c r="H87" s="37" t="s">
        <v>603</v>
      </c>
      <c r="I87" s="37" t="s">
        <v>437</v>
      </c>
      <c r="J87" s="37" t="s">
        <v>145</v>
      </c>
      <c r="K87" s="37"/>
      <c r="L87" s="37"/>
      <c r="M87" s="37"/>
      <c r="N87" s="50"/>
      <c r="O87" s="6"/>
    </row>
    <row r="88" spans="2:15">
      <c r="B88" s="6"/>
      <c r="C88" s="6" t="s">
        <v>433</v>
      </c>
      <c r="D88" s="6" t="s">
        <v>612</v>
      </c>
      <c r="E88" s="29" t="s">
        <v>613</v>
      </c>
      <c r="F88" s="6" t="s">
        <v>610</v>
      </c>
      <c r="G88" s="6" t="s">
        <v>614</v>
      </c>
      <c r="H88" s="6" t="s">
        <v>603</v>
      </c>
      <c r="I88" s="6" t="s">
        <v>437</v>
      </c>
      <c r="J88" s="6" t="s">
        <v>145</v>
      </c>
      <c r="K88" s="6"/>
      <c r="L88" s="6"/>
      <c r="M88" s="6"/>
      <c r="N88" s="47"/>
      <c r="O88" s="6"/>
    </row>
    <row r="89" spans="2:15">
      <c r="B89" s="33"/>
      <c r="C89" s="33" t="s">
        <v>453</v>
      </c>
      <c r="D89" s="41" t="s">
        <v>621</v>
      </c>
      <c r="E89" s="34" t="s">
        <v>622</v>
      </c>
      <c r="F89" s="33" t="s">
        <v>610</v>
      </c>
      <c r="G89" s="33" t="s">
        <v>623</v>
      </c>
      <c r="H89" s="33" t="s">
        <v>603</v>
      </c>
      <c r="I89" s="33" t="s">
        <v>437</v>
      </c>
      <c r="J89" s="33" t="s">
        <v>145</v>
      </c>
      <c r="K89" s="86"/>
      <c r="L89" s="86"/>
      <c r="M89" s="86"/>
      <c r="N89" s="132"/>
      <c r="O89" s="119"/>
    </row>
    <row r="90" spans="2:15" ht="14.4">
      <c r="B90" s="33"/>
      <c r="C90" s="33" t="s">
        <v>453</v>
      </c>
      <c r="D90" s="41" t="s">
        <v>1420</v>
      </c>
      <c r="E90" s="55" t="s">
        <v>1421</v>
      </c>
      <c r="F90" s="33" t="s">
        <v>610</v>
      </c>
      <c r="G90" s="33" t="s">
        <v>1422</v>
      </c>
      <c r="H90" s="33" t="s">
        <v>603</v>
      </c>
      <c r="I90" s="33" t="s">
        <v>437</v>
      </c>
      <c r="J90" s="33" t="s">
        <v>121</v>
      </c>
      <c r="K90" s="86"/>
      <c r="L90" s="86"/>
      <c r="M90" s="86"/>
      <c r="N90" s="132"/>
      <c r="O90" s="22"/>
    </row>
    <row r="91" spans="2:15">
      <c r="B91" s="6"/>
      <c r="C91" s="6" t="s">
        <v>433</v>
      </c>
      <c r="D91" s="6" t="s">
        <v>615</v>
      </c>
      <c r="E91" s="29" t="s">
        <v>616</v>
      </c>
      <c r="F91" s="6" t="s">
        <v>610</v>
      </c>
      <c r="G91" s="6" t="s">
        <v>617</v>
      </c>
      <c r="H91" s="6" t="s">
        <v>603</v>
      </c>
      <c r="I91" s="6" t="s">
        <v>437</v>
      </c>
      <c r="J91" s="6" t="s">
        <v>145</v>
      </c>
      <c r="K91" s="6"/>
      <c r="L91" s="6"/>
      <c r="M91" s="6"/>
      <c r="N91" s="47"/>
      <c r="O91" s="22"/>
    </row>
    <row r="92" spans="2:15">
      <c r="B92" s="6"/>
      <c r="C92" s="6" t="s">
        <v>433</v>
      </c>
      <c r="D92" s="6" t="s">
        <v>618</v>
      </c>
      <c r="E92" s="29" t="s">
        <v>619</v>
      </c>
      <c r="F92" s="6" t="s">
        <v>610</v>
      </c>
      <c r="G92" s="6" t="s">
        <v>620</v>
      </c>
      <c r="H92" s="6" t="s">
        <v>603</v>
      </c>
      <c r="I92" s="6" t="s">
        <v>437</v>
      </c>
      <c r="J92" s="6" t="s">
        <v>145</v>
      </c>
      <c r="K92" s="6"/>
      <c r="L92" s="6"/>
      <c r="M92" s="6"/>
      <c r="N92" s="47"/>
      <c r="O92" s="121"/>
    </row>
    <row r="93" spans="2:15">
      <c r="B93" s="37"/>
      <c r="C93" s="37" t="s">
        <v>507</v>
      </c>
      <c r="D93" s="145" t="s">
        <v>604</v>
      </c>
      <c r="E93" s="38" t="s">
        <v>605</v>
      </c>
      <c r="F93" s="37" t="s">
        <v>606</v>
      </c>
      <c r="G93" s="37" t="s">
        <v>607</v>
      </c>
      <c r="H93" s="37" t="s">
        <v>603</v>
      </c>
      <c r="I93" s="37" t="s">
        <v>437</v>
      </c>
      <c r="J93" s="37" t="s">
        <v>145</v>
      </c>
      <c r="K93" s="37"/>
      <c r="L93" s="37"/>
      <c r="M93" s="37"/>
      <c r="N93" s="146"/>
      <c r="O93" s="111"/>
    </row>
    <row r="94" spans="2:15">
      <c r="B94" s="6"/>
      <c r="C94" s="6" t="s">
        <v>433</v>
      </c>
      <c r="D94" s="6" t="s">
        <v>1423</v>
      </c>
      <c r="E94" s="29" t="s">
        <v>1424</v>
      </c>
      <c r="F94" s="6" t="s">
        <v>1425</v>
      </c>
      <c r="G94" s="6" t="s">
        <v>1426</v>
      </c>
      <c r="H94" s="6" t="s">
        <v>603</v>
      </c>
      <c r="I94" s="6" t="s">
        <v>437</v>
      </c>
      <c r="J94" s="6" t="s">
        <v>145</v>
      </c>
      <c r="K94" s="6"/>
      <c r="L94" s="6"/>
      <c r="M94" s="6"/>
      <c r="N94" s="47"/>
      <c r="O94" s="37"/>
    </row>
    <row r="95" spans="2:15">
      <c r="B95" s="14"/>
      <c r="C95" s="14" t="s">
        <v>420</v>
      </c>
      <c r="D95" s="15" t="s">
        <v>588</v>
      </c>
      <c r="E95" s="16" t="s">
        <v>589</v>
      </c>
      <c r="F95" s="15" t="s">
        <v>590</v>
      </c>
      <c r="G95" s="15" t="s">
        <v>591</v>
      </c>
      <c r="H95" s="15" t="s">
        <v>592</v>
      </c>
      <c r="I95" s="14" t="s">
        <v>437</v>
      </c>
      <c r="J95" s="14" t="s">
        <v>145</v>
      </c>
      <c r="K95" s="17"/>
      <c r="L95" s="17"/>
      <c r="M95" s="17"/>
      <c r="N95" s="142"/>
      <c r="O95" s="6"/>
    </row>
    <row r="96" spans="2:15">
      <c r="B96" s="22"/>
      <c r="C96" s="22" t="s">
        <v>445</v>
      </c>
      <c r="D96" s="23" t="s">
        <v>593</v>
      </c>
      <c r="E96" s="24" t="s">
        <v>594</v>
      </c>
      <c r="F96" s="23" t="s">
        <v>590</v>
      </c>
      <c r="G96" s="23" t="s">
        <v>595</v>
      </c>
      <c r="H96" s="25" t="s">
        <v>592</v>
      </c>
      <c r="I96" s="26" t="s">
        <v>426</v>
      </c>
      <c r="J96" s="26" t="s">
        <v>145</v>
      </c>
      <c r="K96" s="27"/>
      <c r="L96" s="27"/>
      <c r="M96" s="27"/>
      <c r="N96" s="134"/>
      <c r="O96" s="6"/>
    </row>
    <row r="97" spans="2:15">
      <c r="B97" s="22"/>
      <c r="C97" s="22" t="s">
        <v>445</v>
      </c>
      <c r="D97" s="23" t="s">
        <v>596</v>
      </c>
      <c r="E97" s="24" t="s">
        <v>597</v>
      </c>
      <c r="F97" s="23" t="s">
        <v>590</v>
      </c>
      <c r="G97" s="23" t="s">
        <v>598</v>
      </c>
      <c r="H97" s="25" t="s">
        <v>592</v>
      </c>
      <c r="I97" s="26" t="s">
        <v>426</v>
      </c>
      <c r="J97" s="26" t="s">
        <v>145</v>
      </c>
      <c r="K97" s="27"/>
      <c r="L97" s="27"/>
      <c r="M97" s="27"/>
      <c r="N97" s="134"/>
      <c r="O97" s="6"/>
    </row>
    <row r="98" spans="2:15" ht="14.4">
      <c r="B98" s="22"/>
      <c r="C98" s="22" t="s">
        <v>445</v>
      </c>
      <c r="D98" s="23" t="s">
        <v>1427</v>
      </c>
      <c r="E98" s="113" t="s">
        <v>1428</v>
      </c>
      <c r="F98" s="23" t="s">
        <v>505</v>
      </c>
      <c r="G98" s="23" t="s">
        <v>506</v>
      </c>
      <c r="H98" s="25" t="s">
        <v>493</v>
      </c>
      <c r="I98" s="26" t="s">
        <v>426</v>
      </c>
      <c r="J98" s="26" t="s">
        <v>145</v>
      </c>
      <c r="K98" s="44"/>
      <c r="L98" s="27"/>
      <c r="M98" s="27"/>
      <c r="N98" s="134"/>
      <c r="O98" s="6"/>
    </row>
    <row r="99" spans="2:15">
      <c r="B99" s="114"/>
      <c r="C99" s="114" t="s">
        <v>453</v>
      </c>
      <c r="D99" s="33" t="s">
        <v>1429</v>
      </c>
      <c r="E99" s="34"/>
      <c r="F99" s="33" t="s">
        <v>505</v>
      </c>
      <c r="G99" s="33" t="s">
        <v>1430</v>
      </c>
      <c r="H99" s="33"/>
      <c r="I99" s="33" t="s">
        <v>437</v>
      </c>
      <c r="J99" s="33"/>
      <c r="K99" s="147"/>
      <c r="L99" s="114"/>
      <c r="M99" s="114"/>
      <c r="N99" s="52"/>
      <c r="O99" s="42"/>
    </row>
    <row r="100" spans="2:15">
      <c r="B100" s="148"/>
      <c r="C100" s="148" t="s">
        <v>433</v>
      </c>
      <c r="D100" s="6" t="s">
        <v>542</v>
      </c>
      <c r="E100" s="29"/>
      <c r="F100" s="6" t="s">
        <v>540</v>
      </c>
      <c r="G100" s="6" t="s">
        <v>543</v>
      </c>
      <c r="H100" s="6"/>
      <c r="I100" s="6"/>
      <c r="J100" s="6" t="s">
        <v>145</v>
      </c>
      <c r="K100" s="46"/>
      <c r="L100" s="6"/>
      <c r="M100" s="6"/>
      <c r="N100" s="47"/>
      <c r="O100" s="50">
        <v>4.1666666666666664E-2</v>
      </c>
    </row>
    <row r="101" spans="2:15">
      <c r="B101" s="118"/>
      <c r="C101" s="118" t="s">
        <v>445</v>
      </c>
      <c r="D101" s="120" t="s">
        <v>494</v>
      </c>
      <c r="E101" s="24" t="s">
        <v>495</v>
      </c>
      <c r="F101" s="23" t="s">
        <v>496</v>
      </c>
      <c r="G101" s="23" t="s">
        <v>497</v>
      </c>
      <c r="H101" s="25" t="s">
        <v>493</v>
      </c>
      <c r="I101" s="26" t="s">
        <v>426</v>
      </c>
      <c r="J101" s="26" t="s">
        <v>145</v>
      </c>
      <c r="K101" s="27"/>
      <c r="L101" s="27"/>
      <c r="M101" s="27"/>
      <c r="N101" s="149"/>
      <c r="O101" s="47">
        <v>4.1666666666666664E-2</v>
      </c>
    </row>
    <row r="102" spans="2:15">
      <c r="B102" s="122"/>
      <c r="C102" s="122" t="s">
        <v>433</v>
      </c>
      <c r="D102" s="39" t="s">
        <v>498</v>
      </c>
      <c r="E102" s="29" t="s">
        <v>499</v>
      </c>
      <c r="F102" s="6" t="s">
        <v>500</v>
      </c>
      <c r="G102" s="6" t="s">
        <v>501</v>
      </c>
      <c r="H102" s="6" t="s">
        <v>493</v>
      </c>
      <c r="I102" s="6" t="s">
        <v>437</v>
      </c>
      <c r="J102" s="6" t="s">
        <v>145</v>
      </c>
      <c r="K102" s="6"/>
      <c r="L102" s="6"/>
      <c r="M102" s="6"/>
      <c r="N102" s="150"/>
      <c r="O102" s="58"/>
    </row>
    <row r="103" spans="2:15">
      <c r="B103" s="122"/>
      <c r="C103" s="122" t="s">
        <v>433</v>
      </c>
      <c r="D103" s="39" t="s">
        <v>502</v>
      </c>
      <c r="E103" s="29" t="s">
        <v>503</v>
      </c>
      <c r="F103" s="6" t="s">
        <v>500</v>
      </c>
      <c r="G103" s="6" t="s">
        <v>504</v>
      </c>
      <c r="H103" s="6" t="s">
        <v>493</v>
      </c>
      <c r="I103" s="6" t="s">
        <v>437</v>
      </c>
      <c r="J103" s="6" t="s">
        <v>145</v>
      </c>
      <c r="K103" s="6"/>
      <c r="L103" s="6"/>
      <c r="M103" s="6"/>
      <c r="N103" s="150"/>
      <c r="O103" s="19"/>
    </row>
    <row r="104" spans="2:15">
      <c r="B104" s="121"/>
      <c r="C104" s="121" t="s">
        <v>420</v>
      </c>
      <c r="D104" s="43" t="s">
        <v>624</v>
      </c>
      <c r="E104" s="16" t="s">
        <v>625</v>
      </c>
      <c r="F104" s="42" t="s">
        <v>121</v>
      </c>
      <c r="G104" s="42" t="s">
        <v>626</v>
      </c>
      <c r="H104" s="42" t="s">
        <v>627</v>
      </c>
      <c r="I104" s="42" t="s">
        <v>426</v>
      </c>
      <c r="J104" s="42" t="s">
        <v>121</v>
      </c>
      <c r="K104" s="42"/>
      <c r="L104" s="42"/>
      <c r="M104" s="42"/>
      <c r="N104" s="151"/>
      <c r="O104" s="60"/>
    </row>
    <row r="105" spans="2:15">
      <c r="B105" s="118"/>
      <c r="C105" s="118" t="s">
        <v>445</v>
      </c>
      <c r="D105" s="120" t="s">
        <v>682</v>
      </c>
      <c r="E105" s="24" t="s">
        <v>1431</v>
      </c>
      <c r="F105" s="23"/>
      <c r="G105" s="23"/>
      <c r="H105" s="25"/>
      <c r="I105" s="26" t="s">
        <v>437</v>
      </c>
      <c r="J105" s="26" t="s">
        <v>121</v>
      </c>
      <c r="K105" s="44"/>
      <c r="L105" s="44"/>
      <c r="M105" s="152" t="s">
        <v>1432</v>
      </c>
      <c r="N105" s="149"/>
      <c r="O105" s="61"/>
    </row>
    <row r="106" spans="2:15">
      <c r="B106" s="122"/>
      <c r="C106" s="122" t="s">
        <v>433</v>
      </c>
      <c r="D106" s="39" t="s">
        <v>1433</v>
      </c>
      <c r="E106" s="29" t="s">
        <v>1434</v>
      </c>
      <c r="F106" s="6"/>
      <c r="G106" s="6" t="s">
        <v>1435</v>
      </c>
      <c r="H106" s="6"/>
      <c r="I106" s="6" t="s">
        <v>437</v>
      </c>
      <c r="J106" s="6" t="s">
        <v>121</v>
      </c>
      <c r="K106" s="46"/>
      <c r="L106" s="46"/>
      <c r="M106" s="46" t="s">
        <v>1432</v>
      </c>
      <c r="N106" s="150"/>
      <c r="O106" s="42"/>
    </row>
    <row r="107" spans="2:15" ht="14.4">
      <c r="B107" s="111"/>
      <c r="C107" s="111" t="s">
        <v>507</v>
      </c>
      <c r="D107" s="40" t="s">
        <v>679</v>
      </c>
      <c r="E107" s="48" t="s">
        <v>1436</v>
      </c>
      <c r="F107" s="37" t="s">
        <v>1437</v>
      </c>
      <c r="G107" s="37" t="s">
        <v>1438</v>
      </c>
      <c r="H107" s="37" t="s">
        <v>627</v>
      </c>
      <c r="I107" s="37" t="s">
        <v>437</v>
      </c>
      <c r="J107" s="37" t="s">
        <v>121</v>
      </c>
      <c r="K107" s="37"/>
      <c r="L107" s="37"/>
      <c r="M107" s="37" t="s">
        <v>1432</v>
      </c>
      <c r="N107" s="153"/>
      <c r="O107" s="47"/>
    </row>
    <row r="108" spans="2:15" ht="14.4">
      <c r="B108" s="111"/>
      <c r="C108" s="111" t="s">
        <v>507</v>
      </c>
      <c r="D108" s="40" t="s">
        <v>634</v>
      </c>
      <c r="E108" s="48" t="s">
        <v>635</v>
      </c>
      <c r="F108" s="37" t="s">
        <v>636</v>
      </c>
      <c r="G108" s="37" t="s">
        <v>637</v>
      </c>
      <c r="H108" s="37" t="s">
        <v>627</v>
      </c>
      <c r="I108" s="37" t="s">
        <v>432</v>
      </c>
      <c r="J108" s="37" t="s">
        <v>121</v>
      </c>
      <c r="K108" s="49"/>
      <c r="L108" s="49"/>
      <c r="M108" s="49"/>
      <c r="N108" s="153">
        <v>2.7777777777777776E-2</v>
      </c>
      <c r="O108" s="52"/>
    </row>
    <row r="109" spans="2:15">
      <c r="B109" s="37"/>
      <c r="C109" s="37" t="s">
        <v>507</v>
      </c>
      <c r="D109" s="37" t="s">
        <v>1439</v>
      </c>
      <c r="E109" s="38" t="s">
        <v>1440</v>
      </c>
      <c r="F109" s="37" t="s">
        <v>644</v>
      </c>
      <c r="G109" s="37" t="s">
        <v>1441</v>
      </c>
      <c r="H109" s="37" t="s">
        <v>627</v>
      </c>
      <c r="I109" s="37" t="s">
        <v>437</v>
      </c>
      <c r="J109" s="37" t="s">
        <v>121</v>
      </c>
      <c r="K109" s="49"/>
      <c r="L109" s="49"/>
      <c r="M109" s="49" t="s">
        <v>1432</v>
      </c>
      <c r="N109" s="50"/>
      <c r="O109" s="47"/>
    </row>
    <row r="110" spans="2:15">
      <c r="B110" s="22"/>
      <c r="C110" s="22" t="s">
        <v>445</v>
      </c>
      <c r="D110" s="23" t="s">
        <v>1442</v>
      </c>
      <c r="E110" s="24" t="s">
        <v>1443</v>
      </c>
      <c r="F110" s="23"/>
      <c r="G110" s="23" t="s">
        <v>1444</v>
      </c>
      <c r="H110" s="25"/>
      <c r="I110" s="26" t="s">
        <v>437</v>
      </c>
      <c r="J110" s="26"/>
      <c r="K110" s="87"/>
      <c r="L110" s="87"/>
      <c r="M110" s="154" t="s">
        <v>1432</v>
      </c>
      <c r="N110" s="134"/>
      <c r="O110" s="47"/>
    </row>
    <row r="111" spans="2:15" ht="14.4">
      <c r="B111" s="155"/>
      <c r="C111" s="155" t="s">
        <v>445</v>
      </c>
      <c r="D111" s="155" t="s">
        <v>1445</v>
      </c>
      <c r="E111" s="156" t="s">
        <v>1268</v>
      </c>
      <c r="F111" s="155" t="s">
        <v>1446</v>
      </c>
      <c r="G111" s="155" t="s">
        <v>1269</v>
      </c>
      <c r="H111" s="155" t="s">
        <v>627</v>
      </c>
      <c r="I111" s="155" t="s">
        <v>437</v>
      </c>
      <c r="J111" s="155" t="s">
        <v>121</v>
      </c>
      <c r="K111" s="155"/>
      <c r="L111" s="155"/>
      <c r="M111" s="155" t="s">
        <v>1432</v>
      </c>
      <c r="N111" s="157"/>
      <c r="O111" s="50"/>
    </row>
    <row r="112" spans="2:15">
      <c r="B112" s="155"/>
      <c r="C112" s="155" t="s">
        <v>445</v>
      </c>
      <c r="D112" s="155" t="s">
        <v>1447</v>
      </c>
      <c r="E112" s="155" t="s">
        <v>1270</v>
      </c>
      <c r="F112" s="155" t="s">
        <v>1271</v>
      </c>
      <c r="G112" s="155" t="s">
        <v>1269</v>
      </c>
      <c r="H112" s="155" t="s">
        <v>627</v>
      </c>
      <c r="I112" s="155" t="s">
        <v>437</v>
      </c>
      <c r="J112" s="155" t="s">
        <v>121</v>
      </c>
      <c r="K112" s="155"/>
      <c r="L112" s="155"/>
      <c r="M112" s="155" t="s">
        <v>1432</v>
      </c>
      <c r="N112" s="157"/>
      <c r="O112" s="47"/>
    </row>
    <row r="113" spans="2:15">
      <c r="B113" s="155"/>
      <c r="C113" s="155" t="s">
        <v>445</v>
      </c>
      <c r="D113" s="155" t="s">
        <v>1448</v>
      </c>
      <c r="E113" s="155" t="s">
        <v>1272</v>
      </c>
      <c r="F113" s="155" t="s">
        <v>1273</v>
      </c>
      <c r="G113" s="155" t="s">
        <v>1269</v>
      </c>
      <c r="H113" s="155" t="s">
        <v>627</v>
      </c>
      <c r="I113" s="155" t="s">
        <v>437</v>
      </c>
      <c r="J113" s="155" t="s">
        <v>121</v>
      </c>
      <c r="K113" s="155"/>
      <c r="L113" s="155"/>
      <c r="M113" s="155" t="s">
        <v>1432</v>
      </c>
      <c r="N113" s="157"/>
      <c r="O113" s="47"/>
    </row>
    <row r="114" spans="2:15">
      <c r="B114" s="155"/>
      <c r="C114" s="155" t="s">
        <v>445</v>
      </c>
      <c r="D114" s="155" t="s">
        <v>1449</v>
      </c>
      <c r="E114" s="155" t="s">
        <v>1274</v>
      </c>
      <c r="F114" s="155" t="s">
        <v>1450</v>
      </c>
      <c r="G114" s="155" t="s">
        <v>1269</v>
      </c>
      <c r="H114" s="155" t="s">
        <v>627</v>
      </c>
      <c r="I114" s="155" t="s">
        <v>437</v>
      </c>
      <c r="J114" s="155" t="s">
        <v>121</v>
      </c>
      <c r="K114" s="155"/>
      <c r="L114" s="155"/>
      <c r="M114" s="155" t="s">
        <v>1432</v>
      </c>
      <c r="N114" s="157"/>
      <c r="O114" s="47"/>
    </row>
    <row r="115" spans="2:15">
      <c r="B115" s="6"/>
      <c r="C115" s="6" t="s">
        <v>705</v>
      </c>
      <c r="D115" s="6" t="s">
        <v>706</v>
      </c>
      <c r="E115" s="29" t="s">
        <v>707</v>
      </c>
      <c r="F115" s="6" t="s">
        <v>708</v>
      </c>
      <c r="G115" s="6" t="s">
        <v>709</v>
      </c>
      <c r="H115" s="6" t="s">
        <v>688</v>
      </c>
      <c r="I115" s="6" t="s">
        <v>437</v>
      </c>
      <c r="J115" s="6" t="s">
        <v>199</v>
      </c>
      <c r="K115" s="46"/>
      <c r="L115" s="46"/>
      <c r="M115" s="46"/>
      <c r="N115" s="47"/>
      <c r="O115" s="47"/>
    </row>
    <row r="116" spans="2:15">
      <c r="B116" s="33"/>
      <c r="C116" s="33" t="s">
        <v>453</v>
      </c>
      <c r="D116" s="41" t="s">
        <v>723</v>
      </c>
      <c r="E116" s="34" t="s">
        <v>724</v>
      </c>
      <c r="F116" s="33" t="s">
        <v>725</v>
      </c>
      <c r="G116" s="33" t="s">
        <v>645</v>
      </c>
      <c r="H116" s="33" t="s">
        <v>688</v>
      </c>
      <c r="I116" s="33" t="s">
        <v>437</v>
      </c>
      <c r="J116" s="33" t="s">
        <v>199</v>
      </c>
      <c r="K116" s="56"/>
      <c r="L116" s="56"/>
      <c r="M116" s="56"/>
      <c r="N116" s="132"/>
      <c r="O116" s="47"/>
    </row>
    <row r="117" spans="2:15">
      <c r="B117" s="6"/>
      <c r="C117" s="6" t="s">
        <v>705</v>
      </c>
      <c r="D117" s="6" t="s">
        <v>726</v>
      </c>
      <c r="E117" s="29" t="s">
        <v>727</v>
      </c>
      <c r="F117" s="6" t="s">
        <v>728</v>
      </c>
      <c r="G117" s="6" t="s">
        <v>713</v>
      </c>
      <c r="H117" s="6" t="s">
        <v>688</v>
      </c>
      <c r="I117" s="6" t="s">
        <v>437</v>
      </c>
      <c r="J117" s="6" t="s">
        <v>199</v>
      </c>
      <c r="K117" s="46"/>
      <c r="L117" s="46"/>
      <c r="M117" s="46"/>
      <c r="N117" s="47"/>
      <c r="O117" s="52"/>
    </row>
    <row r="118" spans="2:15">
      <c r="B118" s="6"/>
      <c r="C118" s="6" t="s">
        <v>433</v>
      </c>
      <c r="D118" s="6" t="s">
        <v>740</v>
      </c>
      <c r="E118" s="29" t="s">
        <v>741</v>
      </c>
      <c r="F118" s="6" t="s">
        <v>738</v>
      </c>
      <c r="G118" s="6" t="s">
        <v>742</v>
      </c>
      <c r="H118" s="6" t="s">
        <v>688</v>
      </c>
      <c r="I118" s="6" t="s">
        <v>437</v>
      </c>
      <c r="J118" s="6" t="s">
        <v>199</v>
      </c>
      <c r="K118" s="46"/>
      <c r="L118" s="46"/>
      <c r="M118" s="46"/>
      <c r="N118" s="47"/>
      <c r="O118" s="45"/>
    </row>
    <row r="119" spans="2:15">
      <c r="B119" s="37"/>
      <c r="C119" s="37" t="s">
        <v>507</v>
      </c>
      <c r="D119" s="37" t="s">
        <v>743</v>
      </c>
      <c r="E119" s="38" t="s">
        <v>744</v>
      </c>
      <c r="F119" s="37" t="s">
        <v>745</v>
      </c>
      <c r="G119" s="37" t="s">
        <v>739</v>
      </c>
      <c r="H119" s="37" t="s">
        <v>688</v>
      </c>
      <c r="I119" s="37" t="s">
        <v>437</v>
      </c>
      <c r="J119" s="37" t="s">
        <v>199</v>
      </c>
      <c r="K119" s="49"/>
      <c r="L119" s="49"/>
      <c r="M119" s="49"/>
      <c r="N119" s="50"/>
      <c r="O119" s="52"/>
    </row>
    <row r="120" spans="2:15">
      <c r="B120" s="6"/>
      <c r="C120" s="6" t="s">
        <v>433</v>
      </c>
      <c r="D120" s="6" t="s">
        <v>746</v>
      </c>
      <c r="E120" s="29" t="s">
        <v>747</v>
      </c>
      <c r="F120" s="6" t="s">
        <v>745</v>
      </c>
      <c r="G120" s="6" t="s">
        <v>748</v>
      </c>
      <c r="H120" s="6" t="s">
        <v>688</v>
      </c>
      <c r="I120" s="6" t="s">
        <v>437</v>
      </c>
      <c r="J120" s="6" t="s">
        <v>199</v>
      </c>
      <c r="K120" s="46"/>
      <c r="L120" s="46"/>
      <c r="M120" s="46"/>
      <c r="N120" s="47"/>
      <c r="O120" s="123"/>
    </row>
    <row r="121" spans="2:15">
      <c r="B121" s="6"/>
      <c r="C121" s="6" t="s">
        <v>433</v>
      </c>
      <c r="D121" s="6" t="s">
        <v>749</v>
      </c>
      <c r="E121" s="29" t="s">
        <v>750</v>
      </c>
      <c r="F121" s="6" t="s">
        <v>745</v>
      </c>
      <c r="G121" s="6" t="s">
        <v>742</v>
      </c>
      <c r="H121" s="6" t="s">
        <v>688</v>
      </c>
      <c r="I121" s="6" t="s">
        <v>437</v>
      </c>
      <c r="J121" s="6" t="s">
        <v>199</v>
      </c>
      <c r="K121" s="46"/>
      <c r="L121" s="46"/>
      <c r="M121" s="46"/>
      <c r="N121" s="47"/>
      <c r="O121" s="45"/>
    </row>
    <row r="122" spans="2:15">
      <c r="B122" s="6"/>
      <c r="C122" s="6" t="s">
        <v>433</v>
      </c>
      <c r="D122" s="6" t="s">
        <v>758</v>
      </c>
      <c r="E122" s="29" t="s">
        <v>759</v>
      </c>
      <c r="F122" s="6" t="s">
        <v>760</v>
      </c>
      <c r="G122" s="6" t="s">
        <v>761</v>
      </c>
      <c r="H122" s="6" t="s">
        <v>688</v>
      </c>
      <c r="I122" s="6" t="s">
        <v>437</v>
      </c>
      <c r="J122" s="6" t="s">
        <v>199</v>
      </c>
      <c r="K122" s="46"/>
      <c r="L122" s="46"/>
      <c r="M122" s="46"/>
      <c r="N122" s="47"/>
      <c r="O122" s="45"/>
    </row>
    <row r="123" spans="2:15">
      <c r="B123" s="6"/>
      <c r="C123" s="6" t="s">
        <v>433</v>
      </c>
      <c r="D123" s="6" t="s">
        <v>762</v>
      </c>
      <c r="E123" s="29" t="s">
        <v>763</v>
      </c>
      <c r="F123" s="6" t="s">
        <v>764</v>
      </c>
      <c r="G123" s="6" t="s">
        <v>765</v>
      </c>
      <c r="H123" s="6" t="s">
        <v>688</v>
      </c>
      <c r="I123" s="6" t="s">
        <v>437</v>
      </c>
      <c r="J123" s="6" t="s">
        <v>199</v>
      </c>
      <c r="K123" s="46"/>
      <c r="L123" s="46"/>
      <c r="M123" s="46"/>
      <c r="N123" s="47"/>
      <c r="O123" s="45"/>
    </row>
    <row r="124" spans="2:15">
      <c r="B124" s="22"/>
      <c r="C124" s="22" t="s">
        <v>445</v>
      </c>
      <c r="D124" s="23" t="s">
        <v>770</v>
      </c>
      <c r="E124" s="24" t="s">
        <v>771</v>
      </c>
      <c r="F124" s="23" t="s">
        <v>772</v>
      </c>
      <c r="G124" s="23" t="s">
        <v>773</v>
      </c>
      <c r="H124" s="25" t="s">
        <v>688</v>
      </c>
      <c r="I124" s="26" t="s">
        <v>437</v>
      </c>
      <c r="J124" s="23" t="s">
        <v>199</v>
      </c>
      <c r="K124" s="44"/>
      <c r="L124" s="44" t="s">
        <v>1251</v>
      </c>
      <c r="M124" s="44"/>
      <c r="N124" s="134"/>
      <c r="O124" s="45"/>
    </row>
    <row r="125" spans="2:15">
      <c r="B125" s="6"/>
      <c r="C125" s="6" t="s">
        <v>433</v>
      </c>
      <c r="D125" s="6" t="s">
        <v>778</v>
      </c>
      <c r="E125" s="29" t="s">
        <v>779</v>
      </c>
      <c r="F125" s="6" t="s">
        <v>780</v>
      </c>
      <c r="G125" s="6" t="s">
        <v>781</v>
      </c>
      <c r="H125" s="6" t="s">
        <v>688</v>
      </c>
      <c r="I125" s="6" t="s">
        <v>437</v>
      </c>
      <c r="J125" s="6" t="s">
        <v>199</v>
      </c>
      <c r="K125" s="46"/>
      <c r="L125" s="46"/>
      <c r="M125" s="46"/>
      <c r="N125" s="47"/>
      <c r="O125" s="45"/>
    </row>
    <row r="126" spans="2:15">
      <c r="B126" s="33"/>
      <c r="C126" s="33" t="s">
        <v>453</v>
      </c>
      <c r="D126" s="41" t="s">
        <v>782</v>
      </c>
      <c r="E126" s="34" t="s">
        <v>783</v>
      </c>
      <c r="F126" s="33" t="s">
        <v>784</v>
      </c>
      <c r="G126" s="33" t="s">
        <v>785</v>
      </c>
      <c r="H126" s="33" t="s">
        <v>688</v>
      </c>
      <c r="I126" s="33" t="s">
        <v>437</v>
      </c>
      <c r="J126" s="33" t="s">
        <v>199</v>
      </c>
      <c r="K126" s="56"/>
      <c r="L126" s="56"/>
      <c r="M126" s="56"/>
      <c r="N126" s="132"/>
    </row>
    <row r="127" spans="2:15">
      <c r="B127" s="33"/>
      <c r="C127" s="33" t="s">
        <v>453</v>
      </c>
      <c r="D127" s="41" t="s">
        <v>809</v>
      </c>
      <c r="E127" s="34" t="s">
        <v>810</v>
      </c>
      <c r="F127" s="33" t="s">
        <v>780</v>
      </c>
      <c r="G127" s="33" t="s">
        <v>811</v>
      </c>
      <c r="H127" s="33" t="s">
        <v>688</v>
      </c>
      <c r="I127" s="33" t="s">
        <v>437</v>
      </c>
      <c r="J127" s="33" t="s">
        <v>199</v>
      </c>
      <c r="K127" s="56"/>
      <c r="L127" s="56"/>
      <c r="M127" s="56"/>
      <c r="N127" s="132"/>
    </row>
    <row r="128" spans="2:15">
      <c r="B128" s="37"/>
      <c r="C128" s="37" t="s">
        <v>507</v>
      </c>
      <c r="D128" s="37" t="s">
        <v>789</v>
      </c>
      <c r="E128" s="38" t="s">
        <v>790</v>
      </c>
      <c r="F128" s="37" t="s">
        <v>791</v>
      </c>
      <c r="G128" s="37" t="s">
        <v>792</v>
      </c>
      <c r="H128" s="37" t="s">
        <v>688</v>
      </c>
      <c r="I128" s="37" t="s">
        <v>437</v>
      </c>
      <c r="J128" s="37" t="s">
        <v>199</v>
      </c>
      <c r="K128" s="49"/>
      <c r="L128" s="50" t="s">
        <v>1256</v>
      </c>
      <c r="M128" s="50"/>
      <c r="N128" s="50"/>
    </row>
    <row r="129" spans="2:14">
      <c r="B129" s="6"/>
      <c r="C129" s="6" t="s">
        <v>433</v>
      </c>
      <c r="D129" s="6" t="s">
        <v>1451</v>
      </c>
      <c r="E129" s="29"/>
      <c r="F129" s="6" t="s">
        <v>795</v>
      </c>
      <c r="G129" s="6" t="s">
        <v>796</v>
      </c>
      <c r="H129" s="6"/>
      <c r="I129" s="6"/>
      <c r="J129" s="6" t="s">
        <v>199</v>
      </c>
      <c r="K129" s="46"/>
      <c r="L129" s="46"/>
      <c r="M129" s="46"/>
      <c r="N129" s="47"/>
    </row>
    <row r="130" spans="2:14">
      <c r="B130" s="22"/>
      <c r="C130" s="22" t="s">
        <v>445</v>
      </c>
      <c r="D130" s="23" t="s">
        <v>797</v>
      </c>
      <c r="E130" s="24" t="s">
        <v>798</v>
      </c>
      <c r="F130" s="23" t="s">
        <v>799</v>
      </c>
      <c r="G130" s="23" t="s">
        <v>800</v>
      </c>
      <c r="H130" s="25" t="s">
        <v>688</v>
      </c>
      <c r="I130" s="26" t="s">
        <v>437</v>
      </c>
      <c r="J130" s="23" t="s">
        <v>199</v>
      </c>
      <c r="K130" s="44"/>
      <c r="L130" s="44"/>
      <c r="M130" s="44"/>
      <c r="N130" s="134"/>
    </row>
  </sheetData>
  <autoFilter ref="B2:O130" xr:uid="{C6EA1130-1C71-4522-B729-6162C5900E72}">
    <filterColumn colId="9">
      <filters blank="1">
        <filter val="Licença a Maternidade"/>
        <dateGroupItem year="2026" month="3" dateTimeGrouping="month"/>
      </filters>
    </filterColumn>
  </autoFilter>
  <mergeCells count="1">
    <mergeCell ref="R1:U1"/>
  </mergeCells>
  <hyperlinks>
    <hyperlink ref="E72" r:id="rId1" display="mailto:marcelo.ferraz@motiva.com.br" xr:uid="{21DA3804-CE5C-452C-99DB-9D096DF8BA41}"/>
    <hyperlink ref="E48" r:id="rId2" display="mailto:juliana.ming@motiva.com.br" xr:uid="{E484C5C5-0A45-4693-9A52-AE970DFDC452}"/>
    <hyperlink ref="E69" r:id="rId3" display="mailto:flavia.godoy@motiva.com.br" xr:uid="{CC0119FC-DC4F-448B-820E-B868F0AB07B0}"/>
    <hyperlink ref="E84" r:id="rId4" display="mailto:caue.cunha@motiva.com.br" xr:uid="{D0F01EAF-7B4B-4831-A509-5F519711A215}"/>
    <hyperlink ref="E76" r:id="rId5" xr:uid="{A774CA83-7700-4464-9227-DE9B096000D1}"/>
    <hyperlink ref="E63" r:id="rId6" xr:uid="{CF31DDFC-3769-4D33-B512-D627AA092518}"/>
    <hyperlink ref="E64" r:id="rId7" xr:uid="{CD523481-0D3E-41C4-AE6F-344C83FA0FB6}"/>
    <hyperlink ref="E60" r:id="rId8" xr:uid="{96BDE9ED-3EF3-4FFD-BBC4-47F35BA5FCD3}"/>
    <hyperlink ref="E61" r:id="rId9" xr:uid="{4F8672B8-AF5E-4C76-A55D-2BBBCF8E947B}"/>
    <hyperlink ref="E102" r:id="rId10" display="mailto:murilo.massaretto@motiva.com.br" xr:uid="{A530D94B-57B6-4DD0-9B28-3BCF8520E0CC}"/>
    <hyperlink ref="E103" r:id="rId11" display="mailto:emilia.dias@motiva.com.br" xr:uid="{687AF4DA-7396-42DC-8D0D-0B5348A668F5}"/>
    <hyperlink ref="E74" r:id="rId12" display="mailto:eduardo.camargo@motiva.com.br" xr:uid="{43F2B7D9-5B38-498B-990D-F7E751169FE8}"/>
    <hyperlink ref="E37" r:id="rId13" display="mailto:josiane.almeida@motiva.com.br" xr:uid="{3F45A6BF-A3CE-4335-A3C6-A6535346A49E}"/>
    <hyperlink ref="E124" r:id="rId14" display="mailto:renata.lacerda@motiva.com.br" xr:uid="{20C6245A-3324-4694-827B-052A40FE93D9}"/>
    <hyperlink ref="E29" r:id="rId15" display="mailto:alexandre.fontes@motiva.com.br" xr:uid="{7760AEDA-C6D9-468F-8197-05CE2326592D}"/>
    <hyperlink ref="E62" r:id="rId16" xr:uid="{BFAAA729-10C4-4E10-BD56-1004E0ED3E68}"/>
    <hyperlink ref="E31" r:id="rId17" display="mailto:marcelo.borgheresi@motiva.com.br" xr:uid="{1072B4CA-2679-47A3-8535-D7B2389E1105}"/>
    <hyperlink ref="E46" r:id="rId18" display="mailto:keller.junior@motiva.com.br" xr:uid="{AADE783A-CD7A-4014-845C-1439AC42628A}"/>
    <hyperlink ref="E51" r:id="rId19" display="mailto:nelson.neto@motiva.com.br" xr:uid="{39DD621C-6D77-4EB2-908B-BA323F825E55}"/>
    <hyperlink ref="E104" r:id="rId20" display="mailto:andre.salcedo@motiva.com.br" xr:uid="{E0C27C23-055A-4D47-B3AA-87B1932A1B55}"/>
    <hyperlink ref="E16" r:id="rId21" display="mailto:elmo.copello@motiva.com.br" xr:uid="{E3EBB96A-C2C6-48F0-9EF9-FEAFE01A7CB8}"/>
    <hyperlink ref="E36" r:id="rId22" display="mailto:jorge.maia@motiva.com.br" xr:uid="{5D48A8EF-E8C1-4560-8544-0C0F968178E1}"/>
    <hyperlink ref="E78" r:id="rId23" xr:uid="{0FFE459D-2381-45B2-A9B4-5C458E5DC3D8}"/>
    <hyperlink ref="E23" r:id="rId24" display="mailto:danieli.ribeiro@motiva.com.br" xr:uid="{97B00C9C-428C-472A-BA93-91CAE8356A43}"/>
    <hyperlink ref="E83" r:id="rId25" display="mailto:felipe.valente@motiva.com.br" xr:uid="{B6581A88-DEB7-4FC4-BEE6-831053B01689}"/>
    <hyperlink ref="E81" r:id="rId26" xr:uid="{52508D8A-7BC2-4AED-883A-DFAB23AA7B26}"/>
    <hyperlink ref="E66" r:id="rId27" xr:uid="{4A99F62F-BCEE-4E21-B10E-B6AED1270A11}"/>
    <hyperlink ref="E54" r:id="rId28" display="mailto:carolina.goes@motiva.com.br" xr:uid="{C11ED892-D28A-4679-B19F-1FB89708776C}"/>
    <hyperlink ref="E87" r:id="rId29" display="mailto:rafael.bortolotti@motiva.com.br" xr:uid="{CDFDB055-BBA3-43AE-9A3D-27C5A2D11F30}"/>
    <hyperlink ref="E88" r:id="rId30" display="mailto:priscila.pereira@motiva.com.br" xr:uid="{5A1B541C-7F5F-477B-AA88-A6B778432FE9}"/>
    <hyperlink ref="E91" r:id="rId31" display="mailto:rodolfo.teixeira@motiva.com.br" xr:uid="{4E337E9E-7B52-4FC1-8184-8B0E4584C81C}"/>
    <hyperlink ref="E86" r:id="rId32" xr:uid="{EE61C1A8-6E1F-4D12-83B3-589FB0BA1767}"/>
    <hyperlink ref="E92" r:id="rId33" display="mailto:vinicius.matteoni@motiva.com.br" xr:uid="{CD18BCFD-E264-4810-A162-79D94FCFF4E7}"/>
    <hyperlink ref="E90" r:id="rId34" xr:uid="{058AB28B-D0EA-4A7B-932B-9823F9262E60}"/>
    <hyperlink ref="E94" r:id="rId35" xr:uid="{738B27F2-2DFB-4081-A242-C3ADB105A2FC}"/>
    <hyperlink ref="E98" r:id="rId36" xr:uid="{3D70410F-FB52-4719-9F78-FAFADF4F3766}"/>
    <hyperlink ref="E30" r:id="rId37" xr:uid="{BF82BDE0-0E0D-48B0-B1D5-DF4E3C0FCDB9}"/>
    <hyperlink ref="E20" r:id="rId38" display="mailto:sabrina.pedroso@motiva.com.br" xr:uid="{07883D5B-C013-4462-9097-D105CCDB6EAC}"/>
    <hyperlink ref="E73" r:id="rId39" display="mailto:priscila.martins@motiva.com.br" xr:uid="{90D3BAE9-EEE7-4AC6-8F8C-F22F2313C6ED}"/>
    <hyperlink ref="E14" r:id="rId40" display="mailto:ricardo.benicio@motiva.com.br" xr:uid="{C8E1DCA8-1DFB-4608-B05B-00F7D97A6A1E}"/>
    <hyperlink ref="E12" r:id="rId41" display="mailto:jean.bonin@motiva.com.br" xr:uid="{20E12935-03E6-4BB8-A9CA-ED74051879F1}"/>
    <hyperlink ref="E109" r:id="rId42" xr:uid="{ED7BBC37-803E-4668-BE09-068CEFEF7CBB}"/>
    <hyperlink ref="E9" r:id="rId43" xr:uid="{C6782AC5-5158-45D5-9AAB-C3CEF49D8804}"/>
    <hyperlink ref="E5" r:id="rId44" xr:uid="{F5657C16-366D-4267-A096-96BFE55A1673}"/>
    <hyperlink ref="E4" r:id="rId45" xr:uid="{E74A71D5-BE8C-40EB-A80B-BB1A1224A0E1}"/>
    <hyperlink ref="E3" r:id="rId46" display="mailto:gustavo.jaquie@motiva.com.br" xr:uid="{577B9498-CFB7-4F99-8CD6-DDDC9837341B}"/>
    <hyperlink ref="E105" r:id="rId47" xr:uid="{2BF85999-0761-4A0C-B2D2-CBE7C5AB61F2}"/>
    <hyperlink ref="E106" r:id="rId48" xr:uid="{083C9568-9BE6-4D9D-8BD4-5C0EE81932D8}"/>
    <hyperlink ref="E26" r:id="rId49" xr:uid="{4127981B-5A38-4284-B166-E2B23AEC9948}"/>
    <hyperlink ref="E13" r:id="rId50" xr:uid="{6768C3D3-F928-4877-9BA9-0784741B8850}"/>
    <hyperlink ref="E18" r:id="rId51" xr:uid="{59C360C7-EE68-443D-A8B6-5218C52D1519}"/>
    <hyperlink ref="E17" r:id="rId52" xr:uid="{CFC180DC-4ECA-4BF9-A9C8-112E6E3D0960}"/>
    <hyperlink ref="E108" r:id="rId53" xr:uid="{DB567227-411D-4C7D-9D53-9D4D3238529F}"/>
    <hyperlink ref="E110" r:id="rId54" xr:uid="{57DF0F52-8BAA-4567-BD59-55A68701299F}"/>
    <hyperlink ref="E42" r:id="rId55" xr:uid="{D324C438-6881-49B2-A87B-499724BC4011}"/>
    <hyperlink ref="E34" r:id="rId56" display="mailto:anderson.zanetti@motiva.com.br" xr:uid="{F04DFD95-0A46-4EB3-8DEF-64E282F76049}"/>
    <hyperlink ref="E52" r:id="rId57" xr:uid="{6BFCEB5B-F0FF-47E3-AB80-02E0FCAB8FE3}"/>
    <hyperlink ref="E55" r:id="rId58" xr:uid="{46B9C7B5-CCF0-4C8A-B75E-898A0966EA33}"/>
    <hyperlink ref="E58" r:id="rId59" xr:uid="{A89BA145-1E33-41A3-AFB3-1DD2D4E756C5}"/>
    <hyperlink ref="E111" r:id="rId60" xr:uid="{2941C7D9-999E-465A-9535-D6A7B725DF32}"/>
    <hyperlink ref="E107" r:id="rId61" xr:uid="{A21A65AA-AE1A-4B21-AEE8-042711EEAABB}"/>
    <hyperlink ref="E127" r:id="rId62" xr:uid="{D17F32A9-9D6A-4BDD-AF93-3F47511E31F7}"/>
  </hyperlinks>
  <pageMargins left="0.511811024" right="0.511811024" top="0.78740157499999996" bottom="0.78740157499999996" header="0.31496062000000002" footer="0.31496062000000002"/>
  <pageSetup paperSize="9" orientation="portrait" r:id="rId63"/>
  <legacyDrawing r:id="rId6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7393013-9b9d-49e7-86ac-ceda526d054d" xsi:nil="true"/>
    <lcf76f155ced4ddcb4097134ff3c332f xmlns="1e8e7e16-9858-4123-b654-618fe7ff18c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8E4D7B6618ECC43B662CB49B00B87B6" ma:contentTypeVersion="11" ma:contentTypeDescription="Create a new document." ma:contentTypeScope="" ma:versionID="746d0c5777d83ec71f8f9d1f536a969d">
  <xsd:schema xmlns:xsd="http://www.w3.org/2001/XMLSchema" xmlns:xs="http://www.w3.org/2001/XMLSchema" xmlns:p="http://schemas.microsoft.com/office/2006/metadata/properties" xmlns:ns2="1e8e7e16-9858-4123-b654-618fe7ff18c8" xmlns:ns3="17393013-9b9d-49e7-86ac-ceda526d054d" targetNamespace="http://schemas.microsoft.com/office/2006/metadata/properties" ma:root="true" ma:fieldsID="558378e9e64986508302790157a51f27" ns2:_="" ns3:_="">
    <xsd:import namespace="1e8e7e16-9858-4123-b654-618fe7ff18c8"/>
    <xsd:import namespace="17393013-9b9d-49e7-86ac-ceda526d054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8e7e16-9858-4123-b654-618fe7ff18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d6ee13d-ec11-47db-9ad7-2b3fca6d114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7393013-9b9d-49e7-86ac-ceda526d054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3166b58-dc08-45fa-80e7-f75d7cfccf5d}" ma:internalName="TaxCatchAll" ma:showField="CatchAllData" ma:web="17393013-9b9d-49e7-86ac-ceda526d054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41B2B3-DC41-4131-8312-B16143FF5F18}">
  <ds:schemaRefs>
    <ds:schemaRef ds:uri="http://schemas.microsoft.com/sharepoint/v3/contenttype/forms"/>
  </ds:schemaRefs>
</ds:datastoreItem>
</file>

<file path=customXml/itemProps2.xml><?xml version="1.0" encoding="utf-8"?>
<ds:datastoreItem xmlns:ds="http://schemas.openxmlformats.org/officeDocument/2006/customXml" ds:itemID="{61A51901-604E-423D-8A70-3E69B1821D2D}">
  <ds:schemaRefs>
    <ds:schemaRef ds:uri="http://schemas.microsoft.com/office/2006/metadata/properties"/>
    <ds:schemaRef ds:uri="http://schemas.microsoft.com/office/infopath/2007/PartnerControls"/>
    <ds:schemaRef ds:uri="17393013-9b9d-49e7-86ac-ceda526d054d"/>
    <ds:schemaRef ds:uri="1e8e7e16-9858-4123-b654-618fe7ff18c8"/>
  </ds:schemaRefs>
</ds:datastoreItem>
</file>

<file path=customXml/itemProps3.xml><?xml version="1.0" encoding="utf-8"?>
<ds:datastoreItem xmlns:ds="http://schemas.openxmlformats.org/officeDocument/2006/customXml" ds:itemID="{236A99B2-23D3-4199-B557-17184CC5DEEF}"/>
</file>

<file path=docMetadata/LabelInfo.xml><?xml version="1.0" encoding="utf-8"?>
<clbl:labelList xmlns:clbl="http://schemas.microsoft.com/office/2020/mipLabelMetadata">
  <clbl:label id="{9c0b9d9f-546e-43b2-9484-9948264c66fd}" enabled="0" method="" siteId="{9c0b9d9f-546e-43b2-9484-9948264c66f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21</vt:i4>
      </vt:variant>
    </vt:vector>
  </HeadingPairs>
  <TitlesOfParts>
    <vt:vector size="21" baseType="lpstr">
      <vt:lpstr>Listas</vt:lpstr>
      <vt:lpstr>Estrutura TOR</vt:lpstr>
      <vt:lpstr>Estrutura TOR2</vt:lpstr>
      <vt:lpstr>Estrutura</vt:lpstr>
      <vt:lpstr>Taxonomias</vt:lpstr>
      <vt:lpstr> Lista de Entrevistas</vt:lpstr>
      <vt:lpstr>Analise Individual</vt:lpstr>
      <vt:lpstr>Evidências_Estruturadas</vt:lpstr>
      <vt:lpstr>Referências</vt:lpstr>
      <vt:lpstr>Nuvem</vt:lpstr>
      <vt:lpstr>Tensões_Estruturais</vt:lpstr>
      <vt:lpstr>Planilha1</vt:lpstr>
      <vt:lpstr>Analise Individual (2)</vt:lpstr>
      <vt:lpstr>Impactos x Entrevistas</vt:lpstr>
      <vt:lpstr>Consolidacao Geral (2)</vt:lpstr>
      <vt:lpstr>Matriz_Problema_Impacto</vt:lpstr>
      <vt:lpstr>Matriz_Dimensao_Impacto</vt:lpstr>
      <vt:lpstr>Hipoteses</vt:lpstr>
      <vt:lpstr>Consolidacao Geral</vt:lpstr>
      <vt:lpstr>Matrizes</vt:lpstr>
      <vt:lpstr>Lista de Entrevistas_BD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Gabriel Mourão Machado</cp:lastModifiedBy>
  <cp:revision/>
  <dcterms:created xsi:type="dcterms:W3CDTF">2026-02-27T12:30:47Z</dcterms:created>
  <dcterms:modified xsi:type="dcterms:W3CDTF">2026-03-31T19:38:30Z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0x01010028E4D7B6618ECC43B662CB49B00B87B6</vt:lpwstr>
  </property>
  <property fmtid="{D5CDD505-2E9C-101B-9397-08002B2CF9AE}" pid="3" name="MediaServiceImageTags">
    <vt:lpwstr/>
  </property>
</Properties>
</file>